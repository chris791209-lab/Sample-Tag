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targetonline-my.sharepoint.com/personal/christy_meyers-vanderbosch_target_com/Documents/HDrive Migration 2018/B&amp;W/C5/2027/"/>
    </mc:Choice>
  </mc:AlternateContent>
  <xr:revisionPtr revIDLastSave="4" documentId="8_{07CC6551-6EF1-4A17-9DF3-95D8C549FA16}" xr6:coauthVersionLast="47" xr6:coauthVersionMax="47" xr10:uidLastSave="{E0A5C7CA-B350-4C43-AA6A-33687B922ACF}"/>
  <workbookProtection workbookAlgorithmName="SHA-512" workbookHashValue="TvnD3T4fTW0dvRM41AvaRUnbA9pjNLpXlN3x5Z7faCaM1PrXkJGimgSRC4KWvEqFH4px69u6BSEZMVMjD1uMlA==" workbookSaltValue="7aY7WFYwBhINlUosI2yX+Q==" workbookSpinCount="100000" lockStructure="1"/>
  <bookViews>
    <workbookView xWindow="-19310" yWindow="-110" windowWidth="19420" windowHeight="11500" xr2:uid="{00000000-000D-0000-FFFF-FFFF00000000}"/>
  </bookViews>
  <sheets>
    <sheet name="Instructions" sheetId="7" r:id="rId1"/>
    <sheet name="Template" sheetId="6" r:id="rId2"/>
    <sheet name="Dropdowns" sheetId="8" state="hidden" r:id="rId3"/>
  </sheets>
  <definedNames>
    <definedName name="_xlnm._FilterDatabase" localSheetId="2" hidden="1">Dropdowns!$D$2:$E$20</definedName>
    <definedName name="_xlnm.Print_Area" localSheetId="0">Instructions!$A$1:$K$28</definedName>
    <definedName name="_xlnm.Print_Area" localSheetId="1">Template!$A$1:$M$101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M6" i="8" s="1"/>
  <c r="I7" i="7"/>
  <c r="J6" i="7" s="1"/>
  <c r="I6" i="7" s="1"/>
  <c r="L96" i="6"/>
  <c r="I94" i="6"/>
  <c r="I93" i="6"/>
  <c r="I87" i="6"/>
  <c r="I86" i="6"/>
  <c r="H78" i="6"/>
  <c r="H77" i="6"/>
  <c r="F96" i="6"/>
  <c r="C94" i="6"/>
  <c r="C93" i="6"/>
  <c r="C87" i="6"/>
  <c r="C86" i="6"/>
  <c r="B78" i="6"/>
  <c r="B77" i="6"/>
  <c r="L71" i="6"/>
  <c r="I69" i="6"/>
  <c r="I68" i="6"/>
  <c r="I62" i="6"/>
  <c r="I61" i="6"/>
  <c r="H53" i="6"/>
  <c r="H52" i="6"/>
  <c r="F71" i="6"/>
  <c r="C69" i="6"/>
  <c r="C68" i="6"/>
  <c r="C62" i="6"/>
  <c r="C61" i="6"/>
  <c r="B53" i="6"/>
  <c r="B52" i="6"/>
  <c r="L46" i="6"/>
  <c r="I44" i="6"/>
  <c r="I43" i="6"/>
  <c r="I37" i="6"/>
  <c r="I36" i="6"/>
  <c r="H28" i="6"/>
  <c r="H27" i="6"/>
  <c r="F46" i="6"/>
  <c r="C44" i="6"/>
  <c r="C43" i="6"/>
  <c r="C37" i="6"/>
  <c r="C36" i="6"/>
  <c r="B28" i="6"/>
  <c r="B27" i="6"/>
  <c r="L21" i="6"/>
  <c r="I19" i="6"/>
  <c r="I18" i="6"/>
  <c r="I12" i="6"/>
  <c r="I11" i="6"/>
  <c r="H3" i="6"/>
  <c r="H2" i="6"/>
  <c r="C21" i="7"/>
  <c r="C19" i="6"/>
  <c r="C12" i="6"/>
  <c r="F21" i="6"/>
  <c r="C20" i="7"/>
  <c r="C13" i="7"/>
  <c r="C14" i="7" s="1"/>
  <c r="C18" i="6"/>
  <c r="C11" i="6"/>
  <c r="B3" i="6"/>
  <c r="B2" i="6"/>
  <c r="L6" i="8" l="1"/>
  <c r="M5" i="8" s="1"/>
  <c r="J5" i="7"/>
</calcChain>
</file>

<file path=xl/sharedStrings.xml><?xml version="1.0" encoding="utf-8"?>
<sst xmlns="http://schemas.openxmlformats.org/spreadsheetml/2006/main" count="296" uniqueCount="90">
  <si>
    <t>IMU GOALS</t>
  </si>
  <si>
    <t>Red</t>
  </si>
  <si>
    <t>PRODUCT DESCRIPTION</t>
  </si>
  <si>
    <t>&lt;Insert Product Description from PCN&gt;</t>
  </si>
  <si>
    <t>SAMPLE DATE</t>
  </si>
  <si>
    <t>&lt;Enter sample submit date&gt;</t>
  </si>
  <si>
    <t>Yellow</t>
  </si>
  <si>
    <t>Green</t>
  </si>
  <si>
    <t>PRODUCT/SAMPLE DETAILS</t>
  </si>
  <si>
    <t>MFG STYLE #</t>
  </si>
  <si>
    <t>&lt;List the MFG Style number entered in PCN&gt;</t>
  </si>
  <si>
    <t>PCN ITEM ID</t>
  </si>
  <si>
    <t>&lt;List the PCN Item ID from PCN&gt;&gt;</t>
  </si>
  <si>
    <t>APEX ID</t>
  </si>
  <si>
    <t>&lt;List the APEX ID number from PCN&gt;</t>
  </si>
  <si>
    <t>SPARK PID</t>
  </si>
  <si>
    <t>&lt;List the Product ID from SPARK&gt;</t>
  </si>
  <si>
    <t>FIRST COST</t>
  </si>
  <si>
    <t>&lt;List the item first cost entered in PCN&gt;</t>
  </si>
  <si>
    <t>COUNTRY OF EXPORT</t>
  </si>
  <si>
    <t>&lt;List the country where Target takes possion of the item&gt;</t>
  </si>
  <si>
    <t>PCN RETAIL</t>
  </si>
  <si>
    <t>&lt;List the item unit retail from PCN&gt;</t>
  </si>
  <si>
    <t>DUTY RATE</t>
  </si>
  <si>
    <t>&lt;List the duty rate for the item that was entered in PCN&gt;</t>
  </si>
  <si>
    <t>IMU (AUTO-CALC)</t>
  </si>
  <si>
    <t>LY IMU (AUTO-CALC)</t>
  </si>
  <si>
    <t>FOR CARRY FORWARD/UPDATED ITEMS ONLY</t>
  </si>
  <si>
    <t>MFG STYLE NUMBER BARCODE</t>
  </si>
  <si>
    <t>LAST YEAR DPCI</t>
  </si>
  <si>
    <t>&lt;Insert LY DPCI of Similar/CF Item if applicable&gt;</t>
  </si>
  <si>
    <t>&lt;Insert your MFG Style Number Barcode in this space&gt;</t>
  </si>
  <si>
    <t>LY FIRST COST</t>
  </si>
  <si>
    <t>&lt;Insert First Cost from LY item if applicable&gt;</t>
  </si>
  <si>
    <t>LY RETAIL</t>
  </si>
  <si>
    <t>&lt;Insert Retail from LY item if applicable&gt;</t>
  </si>
  <si>
    <t>LY DUTY RATE</t>
  </si>
  <si>
    <t>&lt;Insert Duty Rate from LY item if applicable&gt;</t>
  </si>
  <si>
    <t>LY IMU w/DUTY (AUTO-CALC)</t>
  </si>
  <si>
    <t>THUMBNAIL IMAGE</t>
  </si>
  <si>
    <t>COMMENTS</t>
  </si>
  <si>
    <t>RETAIL</t>
  </si>
  <si>
    <t>&lt;Insert a thumbnail image of the sample in this space&gt;</t>
  </si>
  <si>
    <t>&lt;Use this space to include any notes or comments about the item that the Target team should know about. If this is a new version of an existing sample, please note what has changed from the previous sample.&gt;</t>
  </si>
  <si>
    <t>&lt;The retail entered above will also show here for ease of  visibility when working through submissions&gt;</t>
  </si>
  <si>
    <t>IMU w/DUTY (AUTO-CALC)</t>
  </si>
  <si>
    <t>[INSERT THUMBNAIL IMAGE
HERE]</t>
  </si>
  <si>
    <t>Sample Details</t>
  </si>
  <si>
    <t>Vendor Name</t>
  </si>
  <si>
    <t>Color</t>
  </si>
  <si>
    <t xml:space="preserve">Program Name </t>
  </si>
  <si>
    <t>IMU Goal</t>
  </si>
  <si>
    <t>IMU+Duty Goal</t>
  </si>
  <si>
    <t>IMU+DUTY GOALS</t>
  </si>
  <si>
    <t>YES</t>
  </si>
  <si>
    <t>Dark Grey</t>
  </si>
  <si>
    <t>NO</t>
  </si>
  <si>
    <t>Light Blue</t>
  </si>
  <si>
    <t>Dark Blue</t>
  </si>
  <si>
    <t>Dark Purple</t>
  </si>
  <si>
    <t>Magenta</t>
  </si>
  <si>
    <t>Teal</t>
  </si>
  <si>
    <t xml:space="preserve">Champ Home </t>
  </si>
  <si>
    <t>Dark Red</t>
  </si>
  <si>
    <t xml:space="preserve">Garven </t>
  </si>
  <si>
    <t>Turq</t>
  </si>
  <si>
    <t>Light Grey</t>
  </si>
  <si>
    <t>Lilac</t>
  </si>
  <si>
    <t xml:space="preserve">Lucky Star </t>
  </si>
  <si>
    <t>Light Orange</t>
  </si>
  <si>
    <t>Light Pink</t>
  </si>
  <si>
    <t>Dark Green</t>
  </si>
  <si>
    <t>White</t>
  </si>
  <si>
    <t>Light Green</t>
  </si>
  <si>
    <t>Orange</t>
  </si>
  <si>
    <t>Bright Red</t>
  </si>
  <si>
    <t>Tan</t>
  </si>
  <si>
    <t xml:space="preserve">Creative Design </t>
  </si>
  <si>
    <t>PTG</t>
  </si>
  <si>
    <t>Sourcing!Sourcing!</t>
  </si>
  <si>
    <t xml:space="preserve">Solo Murni </t>
  </si>
  <si>
    <t xml:space="preserve">MFR </t>
  </si>
  <si>
    <t xml:space="preserve">Novelty Handicraft </t>
  </si>
  <si>
    <t xml:space="preserve">Crescent </t>
  </si>
  <si>
    <t>Team Youth</t>
  </si>
  <si>
    <t xml:space="preserve">Sugar Paper </t>
  </si>
  <si>
    <t xml:space="preserve">Seasons Limited </t>
  </si>
  <si>
    <t>VNG</t>
  </si>
  <si>
    <t>Boo Basket &amp; Wrap</t>
  </si>
  <si>
    <t xml:space="preserve">Fall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</si>
</sst>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ptos"/>
      <family val="2"/>
    </font>
    <font>
      <b/>
      <sz val="22"/>
      <color theme="1"/>
      <name val="Aptos"/>
      <family val="2"/>
    </font>
    <font>
      <sz val="22"/>
      <color theme="1"/>
      <name val="Aptos"/>
      <family val="2"/>
    </font>
    <font>
      <b/>
      <sz val="14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11"/>
      <color theme="0" tint="-4.9989318521683403E-2"/>
      <name val="Aptos"/>
      <family val="2"/>
    </font>
    <font>
      <sz val="11"/>
      <color theme="1"/>
      <name val="Aptos"/>
      <family val="2"/>
    </font>
    <font>
      <sz val="11"/>
      <color theme="0" tint="-4.9989318521683403E-2"/>
      <name val="Aptos"/>
      <family val="2"/>
    </font>
    <font>
      <sz val="11"/>
      <color theme="0"/>
      <name val="Aptos"/>
      <family val="2"/>
    </font>
    <font>
      <sz val="28"/>
      <color theme="1"/>
      <name val="Aptos"/>
      <family val="2"/>
    </font>
    <font>
      <i/>
      <sz val="14"/>
      <color theme="1"/>
      <name val="Aptos"/>
      <family val="2"/>
    </font>
    <font>
      <b/>
      <sz val="20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i/>
      <sz val="14"/>
      <color theme="1"/>
      <name val="Aptos"/>
      <family val="2"/>
    </font>
    <font>
      <sz val="14"/>
      <color theme="1"/>
      <name val="Aptos"/>
      <family val="2"/>
    </font>
    <font>
      <sz val="8"/>
      <color theme="1"/>
      <name val="Aptos"/>
      <family val="2"/>
    </font>
    <font>
      <i/>
      <sz val="8"/>
      <color theme="1"/>
      <name val="Arial"/>
      <family val="2"/>
    </font>
    <font>
      <i/>
      <sz val="8"/>
      <color theme="1"/>
      <name val="Aptos"/>
      <family val="2"/>
    </font>
    <font>
      <b/>
      <i/>
      <sz val="8"/>
      <color theme="1"/>
      <name val="Aptos"/>
      <family val="2"/>
    </font>
    <font>
      <b/>
      <sz val="10"/>
      <color theme="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6">
    <xf numFmtId="0" fontId="0" fillId="0" borderId="0" xfId="0"/>
    <xf numFmtId="0" fontId="3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top" wrapText="1"/>
    </xf>
    <xf numFmtId="0" fontId="4" fillId="10" borderId="24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3" borderId="24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4" fillId="16" borderId="24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top" wrapText="1"/>
    </xf>
    <xf numFmtId="0" fontId="4" fillId="19" borderId="24" xfId="0" applyFont="1" applyFill="1" applyBorder="1" applyAlignment="1">
      <alignment horizontal="center" vertical="center"/>
    </xf>
    <xf numFmtId="0" fontId="4" fillId="18" borderId="24" xfId="0" applyFont="1" applyFill="1" applyBorder="1" applyAlignment="1">
      <alignment horizontal="center" vertical="top" wrapText="1"/>
    </xf>
    <xf numFmtId="0" fontId="4" fillId="20" borderId="24" xfId="0" applyFont="1" applyFill="1" applyBorder="1" applyAlignment="1">
      <alignment horizontal="center" vertical="center"/>
    </xf>
    <xf numFmtId="0" fontId="4" fillId="21" borderId="24" xfId="0" applyFont="1" applyFill="1" applyBorder="1" applyAlignment="1">
      <alignment horizontal="center" vertical="top" wrapText="1"/>
    </xf>
    <xf numFmtId="0" fontId="4" fillId="22" borderId="24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top" wrapText="1"/>
    </xf>
    <xf numFmtId="0" fontId="4" fillId="23" borderId="24" xfId="0" applyFont="1" applyFill="1" applyBorder="1" applyAlignment="1">
      <alignment horizontal="center" vertical="top" wrapText="1"/>
    </xf>
    <xf numFmtId="0" fontId="5" fillId="0" borderId="0" xfId="0" applyFont="1"/>
    <xf numFmtId="0" fontId="7" fillId="0" borderId="0" xfId="0" applyFont="1"/>
    <xf numFmtId="0" fontId="12" fillId="0" borderId="0" xfId="0" applyFont="1" applyAlignment="1">
      <alignment vertical="center"/>
    </xf>
    <xf numFmtId="0" fontId="10" fillId="0" borderId="14" xfId="0" applyFont="1" applyBorder="1" applyAlignment="1">
      <alignment vertical="center"/>
    </xf>
    <xf numFmtId="44" fontId="12" fillId="0" borderId="15" xfId="3" applyFont="1" applyBorder="1" applyAlignment="1" applyProtection="1">
      <alignment horizontal="right" vertical="center"/>
      <protection locked="0"/>
    </xf>
    <xf numFmtId="0" fontId="10" fillId="0" borderId="12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0" fontId="10" fillId="0" borderId="17" xfId="1" applyNumberFormat="1" applyFont="1" applyBorder="1" applyAlignment="1" applyProtection="1">
      <alignment horizontal="right" vertical="center"/>
    </xf>
    <xf numFmtId="0" fontId="9" fillId="2" borderId="29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wrapText="1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3" xfId="0" applyNumberFormat="1" applyFont="1" applyBorder="1" applyAlignment="1" applyProtection="1">
      <alignment horizontal="right" vertical="center"/>
      <protection locked="0"/>
    </xf>
    <xf numFmtId="0" fontId="9" fillId="2" borderId="29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vertical="center" wrapText="1"/>
    </xf>
    <xf numFmtId="10" fontId="21" fillId="0" borderId="25" xfId="1" applyNumberFormat="1" applyFont="1" applyBorder="1" applyAlignment="1" applyProtection="1">
      <alignment horizontal="center" vertical="center"/>
    </xf>
    <xf numFmtId="10" fontId="21" fillId="0" borderId="13" xfId="1" applyNumberFormat="1" applyFont="1" applyBorder="1" applyAlignment="1" applyProtection="1">
      <alignment horizontal="center" vertical="center"/>
    </xf>
    <xf numFmtId="10" fontId="21" fillId="0" borderId="24" xfId="1" applyNumberFormat="1" applyFont="1" applyBorder="1" applyAlignment="1" applyProtection="1">
      <alignment horizontal="center" vertical="center"/>
    </xf>
    <xf numFmtId="10" fontId="21" fillId="0" borderId="15" xfId="1" applyNumberFormat="1" applyFont="1" applyBorder="1" applyAlignment="1" applyProtection="1">
      <alignment horizontal="center" vertical="center"/>
    </xf>
    <xf numFmtId="10" fontId="21" fillId="0" borderId="26" xfId="1" applyNumberFormat="1" applyFont="1" applyBorder="1" applyAlignment="1" applyProtection="1">
      <alignment horizontal="center" vertical="center"/>
    </xf>
    <xf numFmtId="10" fontId="21" fillId="0" borderId="17" xfId="1" applyNumberFormat="1" applyFont="1" applyBorder="1" applyAlignment="1" applyProtection="1">
      <alignment horizontal="center" vertical="center"/>
    </xf>
    <xf numFmtId="43" fontId="23" fillId="3" borderId="15" xfId="2" applyFont="1" applyFill="1" applyBorder="1" applyAlignment="1" applyProtection="1">
      <alignment horizontal="right" vertical="center"/>
    </xf>
    <xf numFmtId="0" fontId="23" fillId="3" borderId="15" xfId="2" applyNumberFormat="1" applyFont="1" applyFill="1" applyBorder="1" applyAlignment="1" applyProtection="1">
      <alignment horizontal="right" vertical="center"/>
    </xf>
    <xf numFmtId="49" fontId="12" fillId="0" borderId="25" xfId="2" applyNumberFormat="1" applyFont="1" applyBorder="1" applyAlignment="1" applyProtection="1">
      <alignment horizontal="center" vertical="center" wrapText="1"/>
      <protection locked="0"/>
    </xf>
    <xf numFmtId="49" fontId="12" fillId="0" borderId="24" xfId="2" applyNumberFormat="1" applyFont="1" applyBorder="1" applyAlignment="1" applyProtection="1">
      <alignment horizontal="center" vertical="center" wrapText="1"/>
      <protection locked="0"/>
    </xf>
    <xf numFmtId="44" fontId="12" fillId="0" borderId="24" xfId="3" applyFont="1" applyBorder="1" applyAlignment="1" applyProtection="1">
      <alignment horizontal="center" vertical="center"/>
      <protection locked="0"/>
    </xf>
    <xf numFmtId="10" fontId="1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7" fillId="5" borderId="12" xfId="0" applyFont="1" applyFill="1" applyBorder="1" applyAlignment="1">
      <alignment horizontal="right" vertical="center"/>
    </xf>
    <xf numFmtId="0" fontId="17" fillId="4" borderId="14" xfId="0" applyFont="1" applyFill="1" applyBorder="1" applyAlignment="1">
      <alignment horizontal="right" vertical="center"/>
    </xf>
    <xf numFmtId="0" fontId="17" fillId="6" borderId="16" xfId="0" applyFont="1" applyFill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2" fillId="2" borderId="0" xfId="0" applyFont="1" applyFill="1" applyAlignment="1">
      <alignment vertical="center"/>
    </xf>
    <xf numFmtId="44" fontId="12" fillId="0" borderId="0" xfId="0" applyNumberFormat="1" applyFont="1" applyAlignment="1">
      <alignment vertical="center"/>
    </xf>
    <xf numFmtId="44" fontId="12" fillId="0" borderId="0" xfId="3" applyFont="1" applyAlignment="1">
      <alignment vertical="center"/>
    </xf>
    <xf numFmtId="43" fontId="12" fillId="0" borderId="0" xfId="2" applyFont="1" applyAlignment="1">
      <alignment vertical="center"/>
    </xf>
    <xf numFmtId="0" fontId="10" fillId="0" borderId="14" xfId="0" applyFont="1" applyBorder="1" applyAlignment="1">
      <alignment vertical="center" wrapText="1"/>
    </xf>
    <xf numFmtId="0" fontId="10" fillId="0" borderId="37" xfId="0" applyFont="1" applyBorder="1" applyAlignment="1">
      <alignment vertical="center"/>
    </xf>
    <xf numFmtId="0" fontId="9" fillId="2" borderId="33" xfId="0" applyFont="1" applyFill="1" applyBorder="1" applyAlignment="1">
      <alignment vertical="center"/>
    </xf>
    <xf numFmtId="10" fontId="12" fillId="0" borderId="15" xfId="1" applyNumberFormat="1" applyFont="1" applyBorder="1" applyAlignment="1" applyProtection="1">
      <alignment horizontal="right" vertical="center"/>
      <protection locked="0"/>
    </xf>
    <xf numFmtId="10" fontId="10" fillId="0" borderId="15" xfId="1" applyNumberFormat="1" applyFont="1" applyBorder="1" applyAlignment="1" applyProtection="1">
      <alignment horizontal="right" vertical="center"/>
    </xf>
    <xf numFmtId="49" fontId="24" fillId="0" borderId="38" xfId="0" applyNumberFormat="1" applyFont="1" applyBorder="1" applyAlignment="1">
      <alignment horizontal="right" vertical="center"/>
    </xf>
    <xf numFmtId="44" fontId="24" fillId="0" borderId="39" xfId="3" applyFont="1" applyBorder="1" applyAlignment="1" applyProtection="1">
      <alignment horizontal="right" vertical="center"/>
    </xf>
    <xf numFmtId="10" fontId="25" fillId="10" borderId="40" xfId="1" applyNumberFormat="1" applyFont="1" applyFill="1" applyBorder="1" applyAlignment="1" applyProtection="1">
      <alignment horizontal="right" vertical="center"/>
    </xf>
    <xf numFmtId="0" fontId="0" fillId="0" borderId="24" xfId="0" applyBorder="1"/>
    <xf numFmtId="164" fontId="0" fillId="0" borderId="24" xfId="2" applyNumberFormat="1" applyFont="1" applyBorder="1"/>
    <xf numFmtId="0" fontId="26" fillId="5" borderId="12" xfId="0" applyFont="1" applyFill="1" applyBorder="1" applyAlignment="1">
      <alignment horizontal="right" vertical="center"/>
    </xf>
    <xf numFmtId="10" fontId="5" fillId="0" borderId="25" xfId="1" applyNumberFormat="1" applyFont="1" applyBorder="1" applyAlignment="1" applyProtection="1">
      <alignment horizontal="center" vertical="center"/>
    </xf>
    <xf numFmtId="10" fontId="5" fillId="0" borderId="13" xfId="1" applyNumberFormat="1" applyFont="1" applyBorder="1" applyAlignment="1" applyProtection="1">
      <alignment horizontal="center" vertical="center"/>
    </xf>
    <xf numFmtId="0" fontId="26" fillId="4" borderId="14" xfId="0" applyFont="1" applyFill="1" applyBorder="1" applyAlignment="1">
      <alignment horizontal="right" vertical="center"/>
    </xf>
    <xf numFmtId="10" fontId="5" fillId="0" borderId="24" xfId="1" applyNumberFormat="1" applyFont="1" applyBorder="1" applyAlignment="1" applyProtection="1">
      <alignment horizontal="center" vertical="center"/>
    </xf>
    <xf numFmtId="10" fontId="5" fillId="0" borderId="15" xfId="1" applyNumberFormat="1" applyFont="1" applyBorder="1" applyAlignment="1" applyProtection="1">
      <alignment horizontal="center" vertical="center"/>
    </xf>
    <xf numFmtId="0" fontId="26" fillId="6" borderId="16" xfId="0" applyFont="1" applyFill="1" applyBorder="1" applyAlignment="1">
      <alignment horizontal="right" vertical="center"/>
    </xf>
    <xf numFmtId="10" fontId="5" fillId="0" borderId="26" xfId="1" applyNumberFormat="1" applyFont="1" applyBorder="1" applyAlignment="1" applyProtection="1">
      <alignment horizontal="center" vertical="center"/>
    </xf>
    <xf numFmtId="10" fontId="5" fillId="0" borderId="17" xfId="1" applyNumberFormat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9" fontId="18" fillId="3" borderId="23" xfId="0" applyNumberFormat="1" applyFont="1" applyFill="1" applyBorder="1" applyAlignment="1">
      <alignment horizontal="center" vertical="center"/>
    </xf>
    <xf numFmtId="49" fontId="12" fillId="3" borderId="27" xfId="0" applyNumberFormat="1" applyFont="1" applyFill="1" applyBorder="1" applyAlignment="1">
      <alignment horizontal="center" vertical="center"/>
    </xf>
    <xf numFmtId="49" fontId="12" fillId="3" borderId="28" xfId="0" applyNumberFormat="1" applyFont="1" applyFill="1" applyBorder="1" applyAlignment="1">
      <alignment horizontal="center" vertical="center"/>
    </xf>
    <xf numFmtId="49" fontId="12" fillId="3" borderId="34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14" fontId="18" fillId="3" borderId="20" xfId="0" applyNumberFormat="1" applyFont="1" applyFill="1" applyBorder="1" applyAlignment="1">
      <alignment horizontal="center" vertical="center" wrapText="1"/>
    </xf>
    <xf numFmtId="14" fontId="18" fillId="3" borderId="22" xfId="0" applyNumberFormat="1" applyFont="1" applyFill="1" applyBorder="1" applyAlignment="1">
      <alignment horizontal="center" vertical="center" wrapText="1"/>
    </xf>
    <xf numFmtId="10" fontId="19" fillId="10" borderId="26" xfId="1" applyNumberFormat="1" applyFont="1" applyFill="1" applyBorder="1" applyAlignment="1" applyProtection="1">
      <alignment horizontal="center" vertical="center"/>
    </xf>
    <xf numFmtId="10" fontId="19" fillId="10" borderId="17" xfId="1" applyNumberFormat="1" applyFont="1" applyFill="1" applyBorder="1" applyAlignment="1" applyProtection="1">
      <alignment horizontal="center" vertical="center"/>
    </xf>
    <xf numFmtId="43" fontId="18" fillId="0" borderId="1" xfId="0" applyNumberFormat="1" applyFont="1" applyBorder="1" applyAlignment="1">
      <alignment horizontal="center" vertical="center"/>
    </xf>
    <xf numFmtId="43" fontId="18" fillId="0" borderId="11" xfId="0" applyNumberFormat="1" applyFont="1" applyBorder="1" applyAlignment="1">
      <alignment horizontal="center" vertical="center"/>
    </xf>
    <xf numFmtId="43" fontId="18" fillId="0" borderId="2" xfId="0" applyNumberFormat="1" applyFont="1" applyBorder="1" applyAlignment="1">
      <alignment horizontal="center" vertical="center"/>
    </xf>
    <xf numFmtId="43" fontId="18" fillId="0" borderId="3" xfId="0" applyNumberFormat="1" applyFont="1" applyBorder="1" applyAlignment="1">
      <alignment horizontal="center" vertical="center"/>
    </xf>
    <xf numFmtId="43" fontId="18" fillId="0" borderId="0" xfId="0" applyNumberFormat="1" applyFont="1" applyAlignment="1">
      <alignment horizontal="center" vertical="center"/>
    </xf>
    <xf numFmtId="43" fontId="18" fillId="0" borderId="4" xfId="0" applyNumberFormat="1" applyFont="1" applyBorder="1" applyAlignment="1">
      <alignment horizontal="center" vertical="center"/>
    </xf>
    <xf numFmtId="43" fontId="18" fillId="0" borderId="5" xfId="0" applyNumberFormat="1" applyFont="1" applyBorder="1" applyAlignment="1">
      <alignment horizontal="center" vertical="center"/>
    </xf>
    <xf numFmtId="43" fontId="18" fillId="0" borderId="6" xfId="0" applyNumberFormat="1" applyFont="1" applyBorder="1" applyAlignment="1">
      <alignment horizontal="center" vertical="center"/>
    </xf>
    <xf numFmtId="43" fontId="18" fillId="0" borderId="7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4" fontId="19" fillId="10" borderId="31" xfId="3" applyFont="1" applyFill="1" applyBorder="1" applyAlignment="1" applyProtection="1">
      <alignment horizontal="center" vertical="center" wrapText="1"/>
    </xf>
    <xf numFmtId="44" fontId="19" fillId="10" borderId="32" xfId="3" applyFont="1" applyFill="1" applyBorder="1" applyAlignment="1" applyProtection="1">
      <alignment horizontal="center" vertical="center" wrapText="1"/>
    </xf>
    <xf numFmtId="44" fontId="19" fillId="10" borderId="33" xfId="3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44" fontId="18" fillId="0" borderId="1" xfId="3" applyFont="1" applyFill="1" applyBorder="1" applyAlignment="1" applyProtection="1">
      <alignment horizontal="center" vertical="center" wrapText="1"/>
    </xf>
    <xf numFmtId="44" fontId="19" fillId="0" borderId="11" xfId="3" applyFont="1" applyFill="1" applyBorder="1" applyAlignment="1" applyProtection="1">
      <alignment horizontal="center" vertical="center" wrapText="1"/>
    </xf>
    <xf numFmtId="44" fontId="19" fillId="0" borderId="3" xfId="3" applyFont="1" applyFill="1" applyBorder="1" applyAlignment="1" applyProtection="1">
      <alignment horizontal="center" vertical="center" wrapText="1"/>
    </xf>
    <xf numFmtId="44" fontId="19" fillId="0" borderId="0" xfId="3" applyFont="1" applyFill="1" applyBorder="1" applyAlignment="1" applyProtection="1">
      <alignment horizontal="center" vertical="center" wrapText="1"/>
    </xf>
    <xf numFmtId="44" fontId="19" fillId="0" borderId="5" xfId="3" applyFont="1" applyFill="1" applyBorder="1" applyAlignment="1" applyProtection="1">
      <alignment horizontal="center" vertical="center" wrapText="1"/>
    </xf>
    <xf numFmtId="44" fontId="19" fillId="0" borderId="6" xfId="3" applyFont="1" applyFill="1" applyBorder="1" applyAlignment="1" applyProtection="1">
      <alignment horizontal="center" vertical="center" wrapText="1"/>
    </xf>
    <xf numFmtId="0" fontId="10" fillId="0" borderId="25" xfId="0" applyFont="1" applyBorder="1" applyAlignment="1">
      <alignment horizontal="right" vertical="center" wrapText="1"/>
    </xf>
    <xf numFmtId="0" fontId="10" fillId="0" borderId="24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2" fillId="0" borderId="32" xfId="0" applyFont="1" applyBorder="1" applyAlignment="1" applyProtection="1">
      <alignment horizontal="center" vertical="center" wrapText="1"/>
      <protection locked="0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10" fontId="10" fillId="0" borderId="26" xfId="1" applyNumberFormat="1" applyFont="1" applyBorder="1" applyAlignment="1" applyProtection="1">
      <alignment horizontal="center" vertical="center"/>
    </xf>
    <xf numFmtId="10" fontId="10" fillId="0" borderId="17" xfId="1" applyNumberFormat="1" applyFont="1" applyBorder="1" applyAlignment="1" applyProtection="1">
      <alignment horizontal="center" vertical="center"/>
    </xf>
    <xf numFmtId="43" fontId="15" fillId="0" borderId="11" xfId="0" applyNumberFormat="1" applyFont="1" applyBorder="1" applyAlignment="1" applyProtection="1">
      <alignment horizontal="center" vertical="center"/>
      <protection locked="0"/>
    </xf>
    <xf numFmtId="43" fontId="15" fillId="0" borderId="2" xfId="0" applyNumberFormat="1" applyFont="1" applyBorder="1" applyAlignment="1" applyProtection="1">
      <alignment horizontal="center" vertical="center"/>
      <protection locked="0"/>
    </xf>
    <xf numFmtId="43" fontId="15" fillId="0" borderId="0" xfId="0" applyNumberFormat="1" applyFont="1" applyAlignment="1" applyProtection="1">
      <alignment horizontal="center" vertical="center"/>
      <protection locked="0"/>
    </xf>
    <xf numFmtId="43" fontId="15" fillId="0" borderId="4" xfId="0" applyNumberFormat="1" applyFont="1" applyBorder="1" applyAlignment="1" applyProtection="1">
      <alignment horizontal="center" vertical="center"/>
      <protection locked="0"/>
    </xf>
    <xf numFmtId="43" fontId="15" fillId="0" borderId="6" xfId="0" applyNumberFormat="1" applyFont="1" applyBorder="1" applyAlignment="1" applyProtection="1">
      <alignment horizontal="center" vertical="center"/>
      <protection locked="0"/>
    </xf>
    <xf numFmtId="43" fontId="15" fillId="0" borderId="7" xfId="0" applyNumberFormat="1" applyFont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>
      <alignment horizontal="center" vertical="center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49" fontId="12" fillId="0" borderId="11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4" fontId="17" fillId="0" borderId="31" xfId="3" applyFont="1" applyBorder="1" applyAlignment="1" applyProtection="1">
      <alignment horizontal="center" vertical="center" wrapText="1"/>
    </xf>
    <xf numFmtId="44" fontId="17" fillId="0" borderId="32" xfId="3" applyFont="1" applyBorder="1" applyAlignment="1" applyProtection="1">
      <alignment horizontal="center" vertical="center" wrapText="1"/>
    </xf>
    <xf numFmtId="44" fontId="17" fillId="0" borderId="33" xfId="3" applyFont="1" applyBorder="1" applyAlignment="1" applyProtection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10" fillId="0" borderId="20" xfId="0" applyNumberFormat="1" applyFont="1" applyBorder="1" applyAlignment="1" applyProtection="1">
      <alignment horizontal="center" vertical="center"/>
      <protection locked="0"/>
    </xf>
    <xf numFmtId="14" fontId="10" fillId="0" borderId="36" xfId="0" applyNumberFormat="1" applyFont="1" applyBorder="1" applyAlignment="1" applyProtection="1">
      <alignment horizontal="center" vertical="center"/>
      <protection locked="0"/>
    </xf>
    <xf numFmtId="49" fontId="10" fillId="0" borderId="23" xfId="0" applyNumberFormat="1" applyFont="1" applyBorder="1" applyAlignment="1" applyProtection="1">
      <alignment horizontal="center" vertical="center"/>
      <protection locked="0"/>
    </xf>
    <xf numFmtId="49" fontId="10" fillId="0" borderId="27" xfId="0" applyNumberFormat="1" applyFont="1" applyBorder="1" applyAlignment="1" applyProtection="1">
      <alignment horizontal="center" vertical="center"/>
      <protection locked="0"/>
    </xf>
    <xf numFmtId="49" fontId="10" fillId="0" borderId="28" xfId="0" applyNumberFormat="1" applyFont="1" applyBorder="1" applyAlignment="1" applyProtection="1">
      <alignment horizontal="center" vertical="center"/>
      <protection locked="0"/>
    </xf>
    <xf numFmtId="49" fontId="10" fillId="0" borderId="34" xfId="0" applyNumberFormat="1" applyFont="1" applyBorder="1" applyAlignment="1" applyProtection="1">
      <alignment horizontal="center" vertical="center"/>
      <protection locked="0"/>
    </xf>
    <xf numFmtId="0" fontId="9" fillId="2" borderId="30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10" fontId="10" fillId="0" borderId="24" xfId="1" applyNumberFormat="1" applyFont="1" applyBorder="1" applyAlignment="1" applyProtection="1">
      <alignment horizontal="center" vertical="center"/>
    </xf>
    <xf numFmtId="10" fontId="10" fillId="0" borderId="15" xfId="1" applyNumberFormat="1" applyFont="1" applyBorder="1" applyAlignment="1" applyProtection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447"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CC99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7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66FFCC"/>
        </patternFill>
      </fill>
    </dxf>
    <dxf>
      <fill>
        <patternFill>
          <bgColor rgb="FF0070C0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99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00"/>
      <color rgb="FFFFFF99"/>
      <color rgb="FFCC9900"/>
      <color rgb="FFFFCC00"/>
      <color rgb="FFFF99CC"/>
      <color rgb="FFCC99FF"/>
      <color rgb="FF006666"/>
      <color rgb="FF33CC33"/>
      <color rgb="FF66FF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15</xdr:row>
      <xdr:rowOff>85725</xdr:rowOff>
    </xdr:from>
    <xdr:to>
      <xdr:col>0</xdr:col>
      <xdr:colOff>2305050</xdr:colOff>
      <xdr:row>26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2250" y="4295775"/>
          <a:ext cx="2082800" cy="1981201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If the item is</a:t>
          </a:r>
          <a:r>
            <a:rPr lang="en-US" sz="1800" b="1" baseline="0"/>
            <a:t> </a:t>
          </a:r>
          <a:r>
            <a:rPr lang="en-US" sz="1800" b="1"/>
            <a:t>carry forward or a direct replacement of</a:t>
          </a:r>
          <a:r>
            <a:rPr lang="en-US" sz="1800" b="1" baseline="0"/>
            <a:t> a current item, please complete theses cells.</a:t>
          </a:r>
          <a:endParaRPr lang="en-US" sz="1800" b="1"/>
        </a:p>
      </xdr:txBody>
    </xdr:sp>
    <xdr:clientData/>
  </xdr:twoCellAnchor>
  <xdr:twoCellAnchor>
    <xdr:from>
      <xdr:col>0</xdr:col>
      <xdr:colOff>2247899</xdr:colOff>
      <xdr:row>15</xdr:row>
      <xdr:rowOff>95250</xdr:rowOff>
    </xdr:from>
    <xdr:to>
      <xdr:col>0</xdr:col>
      <xdr:colOff>2571750</xdr:colOff>
      <xdr:row>21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47899" y="3781425"/>
          <a:ext cx="323851" cy="815975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41276</xdr:colOff>
      <xdr:row>7</xdr:row>
      <xdr:rowOff>142874</xdr:rowOff>
    </xdr:from>
    <xdr:to>
      <xdr:col>6</xdr:col>
      <xdr:colOff>593726</xdr:colOff>
      <xdr:row>14</xdr:row>
      <xdr:rowOff>88900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>
          <a:off x="11557001" y="2428874"/>
          <a:ext cx="552450" cy="1146176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225424</xdr:colOff>
      <xdr:row>3</xdr:row>
      <xdr:rowOff>19051</xdr:rowOff>
    </xdr:from>
    <xdr:to>
      <xdr:col>0</xdr:col>
      <xdr:colOff>2324100</xdr:colOff>
      <xdr:row>14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25424" y="914401"/>
          <a:ext cx="2098676" cy="324802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/>
            <a:t>All information entered in the Product/Sample Details section should match back exactly to what you entered in your PCN event.</a:t>
          </a:r>
        </a:p>
      </xdr:txBody>
    </xdr:sp>
    <xdr:clientData/>
  </xdr:twoCellAnchor>
  <xdr:twoCellAnchor>
    <xdr:from>
      <xdr:col>7</xdr:col>
      <xdr:colOff>76200</xdr:colOff>
      <xdr:row>7</xdr:row>
      <xdr:rowOff>133350</xdr:rowOff>
    </xdr:from>
    <xdr:to>
      <xdr:col>10</xdr:col>
      <xdr:colOff>25400</xdr:colOff>
      <xdr:row>27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658850" y="2419350"/>
          <a:ext cx="2482850" cy="33813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u="none"/>
            <a:t>**Note on IMU**</a:t>
          </a:r>
        </a:p>
        <a:p>
          <a:pPr algn="ctr"/>
          <a:r>
            <a:rPr lang="en-US" sz="1800" b="1"/>
            <a:t>These fields are automatically calculated based on the first cost and retail</a:t>
          </a:r>
          <a:r>
            <a:rPr lang="en-US" sz="1800" b="1" baseline="0"/>
            <a:t> that are entered. They are color coded as red/yellow/green based on thresholds established by the SM (noted above).</a:t>
          </a:r>
          <a:endParaRPr lang="en-US" sz="1800" b="1"/>
        </a:p>
      </xdr:txBody>
    </xdr:sp>
    <xdr:clientData/>
  </xdr:twoCellAnchor>
  <xdr:twoCellAnchor>
    <xdr:from>
      <xdr:col>6</xdr:col>
      <xdr:colOff>66675</xdr:colOff>
      <xdr:row>16</xdr:row>
      <xdr:rowOff>161925</xdr:rowOff>
    </xdr:from>
    <xdr:to>
      <xdr:col>6</xdr:col>
      <xdr:colOff>2019300</xdr:colOff>
      <xdr:row>27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658600" y="4562475"/>
          <a:ext cx="1952625" cy="177165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u="sng"/>
            <a:t>All</a:t>
          </a:r>
          <a:r>
            <a:rPr lang="en-US" sz="1800" b="1" u="sng" baseline="0"/>
            <a:t> yellow-filled cells are mandatory.</a:t>
          </a:r>
        </a:p>
        <a:p>
          <a:pPr algn="ctr"/>
          <a:r>
            <a:rPr lang="en-US" sz="1800" b="1" baseline="0"/>
            <a:t>Once you fill these cells in, they will turn white.</a:t>
          </a:r>
          <a:endParaRPr lang="en-US" sz="1800" b="1"/>
        </a:p>
      </xdr:txBody>
    </xdr:sp>
    <xdr:clientData/>
  </xdr:twoCellAnchor>
  <xdr:twoCellAnchor>
    <xdr:from>
      <xdr:col>6</xdr:col>
      <xdr:colOff>409575</xdr:colOff>
      <xdr:row>0</xdr:row>
      <xdr:rowOff>85725</xdr:rowOff>
    </xdr:from>
    <xdr:to>
      <xdr:col>6</xdr:col>
      <xdr:colOff>2012950</xdr:colOff>
      <xdr:row>5</xdr:row>
      <xdr:rowOff>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476389" y="85725"/>
          <a:ext cx="1603375" cy="152536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Vendor Name will come pre-filled by SM. You will need to select  Program Name.</a:t>
          </a:r>
        </a:p>
      </xdr:txBody>
    </xdr:sp>
    <xdr:clientData/>
  </xdr:twoCellAnchor>
  <xdr:twoCellAnchor>
    <xdr:from>
      <xdr:col>6</xdr:col>
      <xdr:colOff>28572</xdr:colOff>
      <xdr:row>2</xdr:row>
      <xdr:rowOff>139700</xdr:rowOff>
    </xdr:from>
    <xdr:to>
      <xdr:col>6</xdr:col>
      <xdr:colOff>533397</xdr:colOff>
      <xdr:row>4</xdr:row>
      <xdr:rowOff>327024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0800000">
          <a:off x="12095386" y="836386"/>
          <a:ext cx="504825" cy="758824"/>
        </a:xfrm>
        <a:prstGeom prst="rightArrow">
          <a:avLst>
            <a:gd name="adj1" fmla="val 50000"/>
            <a:gd name="adj2" fmla="val 55031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209550</xdr:colOff>
      <xdr:row>0</xdr:row>
      <xdr:rowOff>88901</xdr:rowOff>
    </xdr:from>
    <xdr:to>
      <xdr:col>6</xdr:col>
      <xdr:colOff>19050</xdr:colOff>
      <xdr:row>2</xdr:row>
      <xdr:rowOff>120650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9550" y="88901"/>
          <a:ext cx="11950700" cy="717549"/>
        </a:xfrm>
        <a:prstGeom prst="rect">
          <a:avLst/>
        </a:prstGeom>
        <a:solidFill>
          <a:srgbClr val="FF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Sample Tags </a:t>
          </a:r>
          <a:r>
            <a:rPr lang="en-US" sz="1800" b="1" u="sng"/>
            <a:t>MUST </a:t>
          </a:r>
          <a:r>
            <a:rPr lang="en-US" sz="1800" b="1" u="none"/>
            <a:t>be printed in color. The "Template"</a:t>
          </a:r>
          <a:r>
            <a:rPr lang="en-US" sz="1800" b="1" u="none" baseline="0"/>
            <a:t> tab is formatted to print 8 individual tags on one sheet of A4 or 8.5" x 11" paper. </a:t>
          </a:r>
          <a:r>
            <a:rPr lang="en-US" sz="1800" b="1" u="sng" baseline="0"/>
            <a:t>Please do not adjust these print settings.</a:t>
          </a:r>
          <a:endParaRPr lang="en-US" sz="1800" b="1" u="sng"/>
        </a:p>
      </xdr:txBody>
    </xdr:sp>
    <xdr:clientData/>
  </xdr:twoCellAnchor>
  <xdr:twoCellAnchor>
    <xdr:from>
      <xdr:col>6</xdr:col>
      <xdr:colOff>400050</xdr:colOff>
      <xdr:row>5</xdr:row>
      <xdr:rowOff>92075</xdr:rowOff>
    </xdr:from>
    <xdr:to>
      <xdr:col>6</xdr:col>
      <xdr:colOff>2025650</xdr:colOff>
      <xdr:row>16</xdr:row>
      <xdr:rowOff>66674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1991975" y="1692275"/>
          <a:ext cx="1625600" cy="277494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/>
            <a:t>Country of Export is the country where Target takes possesion of the item. For domestic</a:t>
          </a:r>
          <a:r>
            <a:rPr lang="en-US" sz="1600" b="1" baseline="0"/>
            <a:t> items, enter USA.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2238374</xdr:colOff>
      <xdr:row>6</xdr:row>
      <xdr:rowOff>66675</xdr:rowOff>
    </xdr:from>
    <xdr:to>
      <xdr:col>0</xdr:col>
      <xdr:colOff>2562225</xdr:colOff>
      <xdr:row>9</xdr:row>
      <xdr:rowOff>111125</xdr:rowOff>
    </xdr:to>
    <xdr:sp macro="" textlink="">
      <xdr:nvSpPr>
        <xdr:cNvPr id="2" name="Right Arrow 3">
          <a:extLst>
            <a:ext uri="{FF2B5EF4-FFF2-40B4-BE49-F238E27FC236}">
              <a16:creationId xmlns:a16="http://schemas.microsoft.com/office/drawing/2014/main" id="{850C9781-F4F7-456D-9FEC-6449251385BD}"/>
            </a:ext>
          </a:extLst>
        </xdr:cNvPr>
        <xdr:cNvSpPr/>
      </xdr:nvSpPr>
      <xdr:spPr>
        <a:xfrm>
          <a:off x="2238374" y="2009775"/>
          <a:ext cx="323851" cy="815975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showGridLines="0" tabSelected="1" zoomScale="90" zoomScaleNormal="90" zoomScaleSheetLayoutView="100" workbookViewId="0">
      <selection activeCell="B5" sqref="B5:F5"/>
    </sheetView>
  </sheetViews>
  <sheetFormatPr defaultColWidth="9.140625" defaultRowHeight="15" x14ac:dyDescent="0.25"/>
  <cols>
    <col min="1" max="1" width="39.42578125" style="59" customWidth="1"/>
    <col min="2" max="2" width="29" style="59" customWidth="1"/>
    <col min="3" max="3" width="34.140625" style="70" customWidth="1"/>
    <col min="4" max="4" width="25.7109375" style="59" customWidth="1"/>
    <col min="5" max="5" width="10.7109375" style="59" customWidth="1"/>
    <col min="6" max="6" width="42" style="59" customWidth="1"/>
    <col min="7" max="7" width="31" style="59" customWidth="1"/>
    <col min="8" max="8" width="14.42578125" style="59" customWidth="1"/>
    <col min="9" max="9" width="10" style="59" bestFit="1" customWidth="1"/>
    <col min="10" max="10" width="11.42578125" style="59" bestFit="1" customWidth="1"/>
    <col min="11" max="11" width="2.85546875" style="59" customWidth="1"/>
    <col min="12" max="16384" width="9.140625" style="59"/>
  </cols>
  <sheetData>
    <row r="1" spans="1:11" ht="15.75" thickBot="1" x14ac:dyDescent="0.3">
      <c r="A1" s="55"/>
      <c r="B1" s="56"/>
      <c r="C1" s="57"/>
      <c r="D1" s="56"/>
      <c r="E1" s="56"/>
      <c r="F1" s="56"/>
      <c r="G1" s="56"/>
      <c r="H1" s="56"/>
      <c r="I1" s="56"/>
      <c r="J1" s="56"/>
      <c r="K1" s="58"/>
    </row>
    <row r="2" spans="1:11" ht="39" customHeight="1" x14ac:dyDescent="0.25">
      <c r="A2" s="60"/>
      <c r="B2" s="29"/>
      <c r="C2" s="61"/>
      <c r="D2" s="29"/>
      <c r="E2" s="29"/>
      <c r="F2" s="29"/>
      <c r="G2" s="29"/>
      <c r="H2" s="93" t="s">
        <v>0</v>
      </c>
      <c r="I2" s="94"/>
      <c r="J2" s="95"/>
      <c r="K2" s="62"/>
    </row>
    <row r="3" spans="1:11" ht="15.75" thickBot="1" x14ac:dyDescent="0.3">
      <c r="A3" s="60"/>
      <c r="B3" s="29"/>
      <c r="C3" s="61"/>
      <c r="D3" s="29"/>
      <c r="E3" s="29"/>
      <c r="F3" s="29"/>
      <c r="G3" s="29"/>
      <c r="H3" s="96"/>
      <c r="I3" s="97"/>
      <c r="J3" s="98"/>
      <c r="K3" s="62"/>
    </row>
    <row r="4" spans="1:11" ht="29.25" thickBot="1" x14ac:dyDescent="0.3">
      <c r="A4" s="60"/>
      <c r="B4" s="107" t="s">
        <v>68</v>
      </c>
      <c r="C4" s="108"/>
      <c r="D4" s="108"/>
      <c r="E4" s="108"/>
      <c r="F4" s="109"/>
      <c r="G4" s="29"/>
      <c r="H4" s="99"/>
      <c r="I4" s="100"/>
      <c r="J4" s="101"/>
      <c r="K4" s="62"/>
    </row>
    <row r="5" spans="1:11" ht="27" thickBot="1" x14ac:dyDescent="0.3">
      <c r="A5" s="60"/>
      <c r="B5" s="110" t="s">
        <v>50</v>
      </c>
      <c r="C5" s="111"/>
      <c r="D5" s="111"/>
      <c r="E5" s="111"/>
      <c r="F5" s="112"/>
      <c r="G5" s="29"/>
      <c r="H5" s="63" t="s">
        <v>1</v>
      </c>
      <c r="I5" s="43">
        <v>0</v>
      </c>
      <c r="J5" s="44">
        <f>I6-1E-23</f>
        <v>-0.04</v>
      </c>
      <c r="K5" s="62"/>
    </row>
    <row r="6" spans="1:11" ht="26.25" customHeight="1" x14ac:dyDescent="0.25">
      <c r="A6" s="60"/>
      <c r="B6" s="113" t="s">
        <v>2</v>
      </c>
      <c r="C6" s="115" t="s">
        <v>3</v>
      </c>
      <c r="D6" s="116"/>
      <c r="E6" s="119" t="s">
        <v>4</v>
      </c>
      <c r="F6" s="121" t="s">
        <v>5</v>
      </c>
      <c r="G6" s="29"/>
      <c r="H6" s="64" t="s">
        <v>6</v>
      </c>
      <c r="I6" s="45">
        <f>J6-0.04</f>
        <v>-0.04</v>
      </c>
      <c r="J6" s="46">
        <f>I7-1E-21</f>
        <v>-9.9999999999999991E-22</v>
      </c>
      <c r="K6" s="62"/>
    </row>
    <row r="7" spans="1:11" ht="27" thickBot="1" x14ac:dyDescent="0.3">
      <c r="A7" s="60"/>
      <c r="B7" s="114"/>
      <c r="C7" s="117"/>
      <c r="D7" s="118"/>
      <c r="E7" s="120"/>
      <c r="F7" s="122"/>
      <c r="G7" s="29"/>
      <c r="H7" s="65" t="s">
        <v>7</v>
      </c>
      <c r="I7" s="47">
        <f>SUMIF(Dropdowns!$G$3:$G$19,Instructions!B5,Dropdowns!H3:H19)</f>
        <v>0</v>
      </c>
      <c r="J7" s="48">
        <v>1</v>
      </c>
      <c r="K7" s="62"/>
    </row>
    <row r="8" spans="1:11" ht="15.95" customHeight="1" thickBot="1" x14ac:dyDescent="0.3">
      <c r="A8" s="60"/>
      <c r="B8" s="134" t="s">
        <v>8</v>
      </c>
      <c r="C8" s="135"/>
      <c r="D8" s="135"/>
      <c r="E8" s="135"/>
      <c r="F8" s="136"/>
      <c r="G8" s="29"/>
      <c r="H8" s="29"/>
      <c r="I8" s="29"/>
      <c r="J8" s="29"/>
      <c r="K8" s="62"/>
    </row>
    <row r="9" spans="1:11" ht="15.95" customHeight="1" x14ac:dyDescent="0.25">
      <c r="A9" s="60"/>
      <c r="B9" s="32" t="s">
        <v>9</v>
      </c>
      <c r="C9" s="49" t="s">
        <v>10</v>
      </c>
      <c r="D9" s="148" t="s">
        <v>11</v>
      </c>
      <c r="E9" s="148"/>
      <c r="F9" s="49" t="s">
        <v>12</v>
      </c>
      <c r="G9" s="29"/>
      <c r="H9" s="29"/>
      <c r="I9" s="29"/>
      <c r="J9" s="29"/>
      <c r="K9" s="62"/>
    </row>
    <row r="10" spans="1:11" ht="15.95" customHeight="1" x14ac:dyDescent="0.25">
      <c r="A10" s="60"/>
      <c r="B10" s="30" t="s">
        <v>13</v>
      </c>
      <c r="C10" s="49" t="s">
        <v>14</v>
      </c>
      <c r="D10" s="149" t="s">
        <v>15</v>
      </c>
      <c r="E10" s="149"/>
      <c r="F10" s="49" t="s">
        <v>16</v>
      </c>
      <c r="G10" s="29"/>
      <c r="H10" s="29"/>
      <c r="I10" s="29"/>
      <c r="J10" s="29"/>
      <c r="K10" s="62"/>
    </row>
    <row r="11" spans="1:11" ht="15.95" customHeight="1" x14ac:dyDescent="0.25">
      <c r="A11" s="60"/>
      <c r="B11" s="30" t="s">
        <v>17</v>
      </c>
      <c r="C11" s="50" t="s">
        <v>18</v>
      </c>
      <c r="D11" s="149" t="s">
        <v>19</v>
      </c>
      <c r="E11" s="149"/>
      <c r="F11" s="49" t="s">
        <v>20</v>
      </c>
      <c r="G11" s="29"/>
      <c r="H11" s="29"/>
      <c r="I11" s="29"/>
      <c r="J11" s="29"/>
      <c r="K11" s="62"/>
    </row>
    <row r="12" spans="1:11" ht="15.95" customHeight="1" x14ac:dyDescent="0.25">
      <c r="A12" s="60"/>
      <c r="B12" s="30" t="s">
        <v>21</v>
      </c>
      <c r="C12" s="50" t="s">
        <v>22</v>
      </c>
      <c r="D12" s="149" t="s">
        <v>23</v>
      </c>
      <c r="E12" s="149"/>
      <c r="F12" s="49" t="s">
        <v>24</v>
      </c>
      <c r="G12" s="29"/>
      <c r="H12" s="29"/>
      <c r="I12" s="29"/>
      <c r="J12" s="29"/>
      <c r="K12" s="62"/>
    </row>
    <row r="13" spans="1:11" ht="15.95" customHeight="1" thickBot="1" x14ac:dyDescent="0.3">
      <c r="A13" s="60"/>
      <c r="B13" s="42" t="s">
        <v>25</v>
      </c>
      <c r="C13" s="123" t="str">
        <f>IFERROR((C12-C11)/C12,"FIELD WILL AUTO CALCULATE BASED ON COST AND RETAIL ENTERED")</f>
        <v>FIELD WILL AUTO CALCULATE BASED ON COST AND RETAIL ENTERED</v>
      </c>
      <c r="D13" s="123"/>
      <c r="E13" s="123"/>
      <c r="F13" s="124"/>
      <c r="G13" s="29"/>
      <c r="H13" s="29"/>
      <c r="I13" s="29"/>
      <c r="J13" s="29"/>
      <c r="K13" s="62"/>
    </row>
    <row r="14" spans="1:11" ht="15.95" customHeight="1" thickBot="1" x14ac:dyDescent="0.3">
      <c r="A14" s="60"/>
      <c r="B14" s="33" t="s">
        <v>26</v>
      </c>
      <c r="C14" s="123" t="str">
        <f>IFERROR((C13-C12)/C13,"FIELD WILL AUTO CALCULATE BASED ON COST, RETAIL AND DUTY ENTERED")</f>
        <v>FIELD WILL AUTO CALCULATE BASED ON COST, RETAIL AND DUTY ENTERED</v>
      </c>
      <c r="D14" s="123"/>
      <c r="E14" s="123"/>
      <c r="F14" s="124"/>
      <c r="G14" s="29"/>
      <c r="H14" s="29"/>
      <c r="I14" s="29"/>
      <c r="J14" s="29"/>
      <c r="K14" s="62"/>
    </row>
    <row r="15" spans="1:11" ht="15.95" customHeight="1" thickBot="1" x14ac:dyDescent="0.3">
      <c r="A15" s="60"/>
      <c r="B15" s="102" t="s">
        <v>27</v>
      </c>
      <c r="C15" s="103"/>
      <c r="D15" s="104" t="s">
        <v>28</v>
      </c>
      <c r="E15" s="105"/>
      <c r="F15" s="106"/>
      <c r="G15" s="29"/>
      <c r="H15" s="29"/>
      <c r="I15" s="29"/>
      <c r="J15" s="29"/>
      <c r="K15" s="62"/>
    </row>
    <row r="16" spans="1:11" ht="15.95" customHeight="1" x14ac:dyDescent="0.25">
      <c r="A16" s="60"/>
      <c r="B16" s="32" t="s">
        <v>29</v>
      </c>
      <c r="C16" s="79" t="s">
        <v>30</v>
      </c>
      <c r="D16" s="125" t="s">
        <v>31</v>
      </c>
      <c r="E16" s="126"/>
      <c r="F16" s="127"/>
      <c r="G16" s="29"/>
      <c r="H16" s="29"/>
      <c r="I16" s="29"/>
      <c r="J16" s="29"/>
      <c r="K16" s="62"/>
    </row>
    <row r="17" spans="1:11" ht="15.95" customHeight="1" x14ac:dyDescent="0.25">
      <c r="A17" s="60"/>
      <c r="B17" s="30" t="s">
        <v>32</v>
      </c>
      <c r="C17" s="80" t="s">
        <v>33</v>
      </c>
      <c r="D17" s="128"/>
      <c r="E17" s="129"/>
      <c r="F17" s="130"/>
      <c r="G17" s="29"/>
      <c r="H17" s="29"/>
      <c r="I17" s="29"/>
      <c r="J17" s="29"/>
      <c r="K17" s="62"/>
    </row>
    <row r="18" spans="1:11" ht="15.95" customHeight="1" x14ac:dyDescent="0.25">
      <c r="A18" s="60"/>
      <c r="B18" s="30" t="s">
        <v>34</v>
      </c>
      <c r="C18" s="80" t="s">
        <v>35</v>
      </c>
      <c r="D18" s="128"/>
      <c r="E18" s="129"/>
      <c r="F18" s="130"/>
      <c r="G18" s="29"/>
      <c r="H18" s="29"/>
      <c r="I18" s="29"/>
      <c r="J18" s="29"/>
      <c r="K18" s="62"/>
    </row>
    <row r="19" spans="1:11" ht="15.95" customHeight="1" x14ac:dyDescent="0.25">
      <c r="A19" s="60"/>
      <c r="B19" s="75" t="s">
        <v>36</v>
      </c>
      <c r="C19" s="80" t="s">
        <v>37</v>
      </c>
      <c r="D19" s="128"/>
      <c r="E19" s="129"/>
      <c r="F19" s="130"/>
      <c r="G19" s="29"/>
      <c r="H19" s="29"/>
      <c r="I19" s="29"/>
      <c r="J19" s="29"/>
      <c r="K19" s="62"/>
    </row>
    <row r="20" spans="1:11" ht="15.95" customHeight="1" thickBot="1" x14ac:dyDescent="0.3">
      <c r="A20" s="60"/>
      <c r="B20" s="33" t="s">
        <v>26</v>
      </c>
      <c r="C20" s="81" t="str">
        <f>IFERROR((C18-C17)/C18,"FIELD WILL AUTO CALC")</f>
        <v>FIELD WILL AUTO CALC</v>
      </c>
      <c r="D20" s="128"/>
      <c r="E20" s="129"/>
      <c r="F20" s="130"/>
      <c r="G20" s="29"/>
      <c r="H20" s="29"/>
      <c r="I20" s="29"/>
      <c r="J20" s="29"/>
      <c r="K20" s="62"/>
    </row>
    <row r="21" spans="1:11" ht="15.95" customHeight="1" thickBot="1" x14ac:dyDescent="0.3">
      <c r="A21" s="60"/>
      <c r="B21" s="42" t="s">
        <v>38</v>
      </c>
      <c r="C21" s="81" t="str">
        <f>IFERROR((C19-C18)/C19,"FIELD WILL AUTO CALC")</f>
        <v>FIELD WILL AUTO CALC</v>
      </c>
      <c r="D21" s="131"/>
      <c r="E21" s="132"/>
      <c r="F21" s="133"/>
      <c r="G21" s="29"/>
      <c r="H21" s="29"/>
      <c r="I21" s="29"/>
      <c r="J21" s="29"/>
      <c r="K21" s="62"/>
    </row>
    <row r="22" spans="1:11" ht="15.95" customHeight="1" thickBot="1" x14ac:dyDescent="0.3">
      <c r="A22" s="60"/>
      <c r="B22" s="35" t="s">
        <v>39</v>
      </c>
      <c r="C22" s="140" t="s">
        <v>40</v>
      </c>
      <c r="D22" s="141"/>
      <c r="E22" s="141"/>
      <c r="F22" s="40" t="s">
        <v>41</v>
      </c>
      <c r="G22" s="29"/>
      <c r="H22" s="29"/>
      <c r="I22" s="29"/>
      <c r="J22" s="29"/>
      <c r="K22" s="62"/>
    </row>
    <row r="23" spans="1:11" ht="18.600000000000001" customHeight="1" x14ac:dyDescent="0.25">
      <c r="A23" s="60"/>
      <c r="B23" s="150" t="s">
        <v>42</v>
      </c>
      <c r="C23" s="142" t="s">
        <v>43</v>
      </c>
      <c r="D23" s="143"/>
      <c r="E23" s="143"/>
      <c r="F23" s="137" t="s">
        <v>44</v>
      </c>
      <c r="G23" s="29"/>
      <c r="H23" s="29"/>
      <c r="I23" s="29"/>
      <c r="J23" s="29"/>
      <c r="K23" s="62"/>
    </row>
    <row r="24" spans="1:11" ht="18.600000000000001" customHeight="1" x14ac:dyDescent="0.25">
      <c r="A24" s="60"/>
      <c r="B24" s="151"/>
      <c r="C24" s="144"/>
      <c r="D24" s="145"/>
      <c r="E24" s="145"/>
      <c r="F24" s="138"/>
      <c r="G24" s="29"/>
      <c r="H24" s="29"/>
      <c r="I24" s="29"/>
      <c r="J24" s="29"/>
      <c r="K24" s="62"/>
    </row>
    <row r="25" spans="1:11" ht="18.600000000000001" customHeight="1" x14ac:dyDescent="0.25">
      <c r="A25" s="60"/>
      <c r="B25" s="151"/>
      <c r="C25" s="144"/>
      <c r="D25" s="145"/>
      <c r="E25" s="145"/>
      <c r="F25" s="138"/>
      <c r="G25" s="29"/>
      <c r="H25" s="29"/>
      <c r="I25" s="29"/>
      <c r="J25" s="29"/>
      <c r="K25" s="62"/>
    </row>
    <row r="26" spans="1:11" ht="18.600000000000001" customHeight="1" x14ac:dyDescent="0.25">
      <c r="A26" s="60"/>
      <c r="B26" s="151"/>
      <c r="C26" s="144"/>
      <c r="D26" s="145"/>
      <c r="E26" s="145"/>
      <c r="F26" s="138"/>
      <c r="G26" s="29"/>
      <c r="H26" s="29"/>
      <c r="I26" s="29"/>
      <c r="J26" s="29"/>
      <c r="K26" s="62"/>
    </row>
    <row r="27" spans="1:11" ht="18.600000000000001" customHeight="1" thickBot="1" x14ac:dyDescent="0.3">
      <c r="A27" s="60"/>
      <c r="B27" s="152"/>
      <c r="C27" s="146"/>
      <c r="D27" s="147"/>
      <c r="E27" s="147"/>
      <c r="F27" s="139"/>
      <c r="G27" s="29"/>
      <c r="H27" s="29"/>
      <c r="I27" s="29"/>
      <c r="J27" s="29"/>
      <c r="K27" s="62"/>
    </row>
    <row r="28" spans="1:11" ht="9.75" customHeight="1" thickBot="1" x14ac:dyDescent="0.3">
      <c r="A28" s="66"/>
      <c r="B28" s="67"/>
      <c r="C28" s="68"/>
      <c r="D28" s="67"/>
      <c r="E28" s="67"/>
      <c r="F28" s="67"/>
      <c r="G28" s="67"/>
      <c r="H28" s="67"/>
      <c r="I28" s="67"/>
      <c r="J28" s="67"/>
      <c r="K28" s="69"/>
    </row>
  </sheetData>
  <sheetProtection algorithmName="SHA-512" hashValue="22nQ9aOewGL6rWYWFd5di48TKIieOpGymhgnGD+Bv+gM5ELnmcaCLZkFdQQZ2RZgtxBLFJzj2auYO43ltxokwg==" saltValue="wGYLPwiJvV76Wb1iP1l6Ow==" spinCount="100000" sheet="1" selectLockedCells="1"/>
  <mergeCells count="21">
    <mergeCell ref="D16:F21"/>
    <mergeCell ref="B8:F8"/>
    <mergeCell ref="C13:F13"/>
    <mergeCell ref="F23:F27"/>
    <mergeCell ref="C22:E22"/>
    <mergeCell ref="C23:E27"/>
    <mergeCell ref="D9:E9"/>
    <mergeCell ref="D10:E10"/>
    <mergeCell ref="D11:E11"/>
    <mergeCell ref="D12:E12"/>
    <mergeCell ref="B23:B27"/>
    <mergeCell ref="H2:J4"/>
    <mergeCell ref="B15:C15"/>
    <mergeCell ref="D15:F15"/>
    <mergeCell ref="B4:F4"/>
    <mergeCell ref="B5:F5"/>
    <mergeCell ref="B6:B7"/>
    <mergeCell ref="C6:D7"/>
    <mergeCell ref="E6:E7"/>
    <mergeCell ref="F6:F7"/>
    <mergeCell ref="C14:F14"/>
  </mergeCells>
  <conditionalFormatting sqref="B4:F4">
    <cfRule type="cellIs" dxfId="436" priority="57" operator="equal">
      <formula>"All Courtesy"</formula>
    </cfRule>
    <cfRule type="cellIs" dxfId="425" priority="32" operator="equal">
      <formula>"Zak Designs"</formula>
    </cfRule>
    <cfRule type="cellIs" dxfId="424" priority="33" operator="equal">
      <formula>"Pan Asian"</formula>
    </cfRule>
    <cfRule type="cellIs" dxfId="423" priority="34" operator="equal">
      <formula>"Illume"</formula>
    </cfRule>
    <cfRule type="cellIs" dxfId="422" priority="35" operator="equal">
      <formula>"Horizon Group"</formula>
    </cfRule>
    <cfRule type="cellIs" dxfId="421" priority="36" operator="equal">
      <formula>"Gemmy Industries"</formula>
    </cfRule>
    <cfRule type="cellIs" dxfId="420" priority="37" operator="equal">
      <formula>"Seasonal Celebrations"</formula>
    </cfRule>
    <cfRule type="cellIs" dxfId="419" priority="38" operator="equal">
      <formula>"Lucky Star"</formula>
    </cfRule>
    <cfRule type="cellIs" dxfId="418" priority="39" operator="equal">
      <formula>"Kurt S. Adler"</formula>
    </cfRule>
    <cfRule type="cellIs" dxfId="417" priority="40" operator="equal">
      <formula>"Hallmark Marketing"</formula>
    </cfRule>
    <cfRule type="cellIs" dxfId="416" priority="41" operator="equal">
      <formula>"Tom's Toys"</formula>
    </cfRule>
    <cfRule type="cellIs" dxfId="415" priority="42" operator="equal">
      <formula>"Team Win"</formula>
    </cfRule>
    <cfRule type="cellIs" dxfId="414" priority="43" operator="equal">
      <formula>"Sun Flower"</formula>
    </cfRule>
    <cfRule type="cellIs" dxfId="413" priority="44" operator="equal">
      <formula>"Shanghai Shengda"</formula>
    </cfRule>
    <cfRule type="cellIs" dxfId="412" priority="45" operator="equal">
      <formula>"Seasonal Specialties"</formula>
    </cfRule>
    <cfRule type="cellIs" dxfId="411" priority="46" operator="equal">
      <formula>"Rauch"</formula>
    </cfRule>
    <cfRule type="cellIs" dxfId="410" priority="47" operator="equal">
      <formula>"Pacific Global"</formula>
    </cfRule>
    <cfRule type="cellIs" dxfId="409" priority="48" operator="equal">
      <formula>"IG Design Group"</formula>
    </cfRule>
    <cfRule type="cellIs" dxfId="408" priority="49" operator="equal">
      <formula>"Grupo Ruz"</formula>
    </cfRule>
    <cfRule type="cellIs" dxfId="407" priority="51" operator="equal">
      <formula>"Designco"</formula>
    </cfRule>
    <cfRule type="cellIs" dxfId="406" priority="52" operator="equal">
      <formula>"Crescent"</formula>
    </cfRule>
    <cfRule type="cellIs" dxfId="405" priority="53" operator="equal">
      <formula>"Creative Design"</formula>
    </cfRule>
    <cfRule type="cellIs" dxfId="404" priority="54" operator="equal">
      <formula>"Radiaant"</formula>
    </cfRule>
    <cfRule type="cellIs" dxfId="403" priority="55" operator="equal">
      <formula>"Marque Impex"</formula>
    </cfRule>
    <cfRule type="cellIs" dxfId="402" priority="56" operator="equal">
      <formula>"Always First"</formula>
    </cfRule>
  </conditionalFormatting>
  <conditionalFormatting sqref="C6 F6">
    <cfRule type="containsBlanks" dxfId="401" priority="10">
      <formula>LEN(TRIM(C6))=0</formula>
    </cfRule>
  </conditionalFormatting>
  <pageMargins left="0.7" right="0.7" top="0.75" bottom="0.75" header="0.3" footer="0.3"/>
  <pageSetup scale="3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86129C5D-9D51-4697-8CD7-5BE9B1344D37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2" operator="equal" id="{D9BDCF13-113F-4445-A2E6-5086C41779A6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3" operator="equal" id="{6C8CE8D8-22E9-4F5A-B7E5-EEDA53936971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equal" id="{5BF01E4B-170B-4F70-8890-0643CC49D920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5" operator="equal" id="{92DB7396-611D-41AF-A928-5C09981EDE8C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1" operator="equal" id="{3A0270F6-A744-493A-AAEC-598BA94E719C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7" operator="equal" id="{1E791E5C-9C90-41CD-B5B2-13D49BE13E85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8" operator="equal" id="{64E00116-790C-4A48-A7BE-C840E68E745E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9" operator="equal" id="{2C11DA53-BEEA-4A24-B711-766FFB0215FF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0" operator="equal" id="{B6E9F4AB-9AB9-4885-9C4C-F9C9E98FC4A4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2" operator="equal" id="{1FC187F1-90D3-45C2-A8DE-9BD3FA940563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3" operator="equal" id="{8B5C3012-200B-4A46-A52D-AECC2FD641DB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4" operator="equal" id="{E2418741-96E5-4A6C-87D1-90C572E18ADE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5" operator="equal" id="{4DC881E8-7FA8-4556-884A-B5BBC51030F1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6" operator="equal" id="{FD416D35-DE5A-4956-947B-B016BE57B5CE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7" operator="equal" id="{E267AE51-9C4D-4C2D-8249-CC6496AD59B1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8" operator="equal" id="{084DF99F-CB88-4D17-BA0F-4FEC641063A5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9" operator="equal" id="{14F6BD59-AB70-4D40-844A-36218227AA7B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30" operator="equal" id="{5204633E-2E91-40C3-B84D-48E52DAB7C4F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31" operator="equal" id="{BEBBB1C1-D11C-40E5-8B31-3272F0031AD3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m:sqref>B4:F4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Dropdowns!$G$2:$G$19</xm:f>
          </x14:formula1>
          <xm:sqref>B5:F5</xm:sqref>
        </x14:dataValidation>
        <x14:dataValidation type="list" allowBlank="1" showInputMessage="1" showErrorMessage="1" xr:uid="{A3D3DAE8-CD88-4BAC-88CF-E5125A29C339}">
          <x14:formula1>
            <xm:f>Dropdowns!$D$2:$D$22</xm:f>
          </x14:formula1>
          <xm:sqref>B4:F4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100"/>
  <sheetViews>
    <sheetView showGridLines="0" view="pageBreakPreview" topLeftCell="A23" zoomScaleNormal="100" zoomScaleSheetLayoutView="100" workbookViewId="0">
      <selection activeCell="C35" sqref="C35"/>
    </sheetView>
  </sheetViews>
  <sheetFormatPr defaultColWidth="8.85546875" defaultRowHeight="13.5" x14ac:dyDescent="0.25"/>
  <cols>
    <col min="1" max="1" width="1.7109375" style="27" customWidth="1"/>
    <col min="2" max="2" width="28.28515625" style="27" customWidth="1"/>
    <col min="3" max="4" width="25.7109375" style="27" customWidth="1"/>
    <col min="5" max="5" width="10.7109375" style="27" customWidth="1"/>
    <col min="6" max="6" width="25.7109375" style="27" customWidth="1"/>
    <col min="7" max="7" width="4.7109375" style="27" customWidth="1"/>
    <col min="8" max="8" width="28.28515625" style="27" customWidth="1"/>
    <col min="9" max="10" width="25.7109375" style="27" customWidth="1"/>
    <col min="11" max="11" width="10.7109375" style="27" customWidth="1"/>
    <col min="12" max="12" width="25.7109375" style="27" customWidth="1"/>
    <col min="13" max="13" width="1.5703125" style="27" customWidth="1"/>
    <col min="14" max="16" width="8.85546875" style="27"/>
    <col min="17" max="17" width="12" style="27" bestFit="1" customWidth="1"/>
    <col min="18" max="16384" width="8.85546875" style="27"/>
  </cols>
  <sheetData>
    <row r="1" spans="2:17" ht="14.25" thickBot="1" x14ac:dyDescent="0.3"/>
    <row r="2" spans="2:17" s="28" customFormat="1" ht="29.25" thickBot="1" x14ac:dyDescent="0.5">
      <c r="B2" s="107" t="str">
        <f>Instructions!$B$4</f>
        <v xml:space="preserve">Lucky Star </v>
      </c>
      <c r="C2" s="108"/>
      <c r="D2" s="108"/>
      <c r="E2" s="108"/>
      <c r="F2" s="109"/>
      <c r="H2" s="107" t="str">
        <f>Instructions!$B$4</f>
        <v xml:space="preserve">Lucky Star </v>
      </c>
      <c r="I2" s="108"/>
      <c r="J2" s="108"/>
      <c r="K2" s="108"/>
      <c r="L2" s="109"/>
    </row>
    <row r="3" spans="2:17" ht="19.5" thickBot="1" x14ac:dyDescent="0.35">
      <c r="B3" s="174" t="str">
        <f>Instructions!$B$5</f>
        <v xml:space="preserve">Program Name </v>
      </c>
      <c r="C3" s="175"/>
      <c r="D3" s="175"/>
      <c r="E3" s="175"/>
      <c r="F3" s="176"/>
      <c r="H3" s="174" t="str">
        <f>Instructions!$B$5</f>
        <v xml:space="preserve">Program Name </v>
      </c>
      <c r="I3" s="175"/>
      <c r="J3" s="175"/>
      <c r="K3" s="175"/>
      <c r="L3" s="176"/>
    </row>
    <row r="4" spans="2:17" s="29" customFormat="1" ht="17.45" customHeight="1" x14ac:dyDescent="0.25">
      <c r="B4" s="113" t="s">
        <v>2</v>
      </c>
      <c r="C4" s="179"/>
      <c r="D4" s="180"/>
      <c r="E4" s="119" t="s">
        <v>4</v>
      </c>
      <c r="F4" s="177"/>
      <c r="H4" s="113" t="s">
        <v>2</v>
      </c>
      <c r="I4" s="179"/>
      <c r="J4" s="180"/>
      <c r="K4" s="119" t="s">
        <v>4</v>
      </c>
      <c r="L4" s="177"/>
    </row>
    <row r="5" spans="2:17" s="29" customFormat="1" ht="17.45" customHeight="1" thickBot="1" x14ac:dyDescent="0.3">
      <c r="B5" s="114"/>
      <c r="C5" s="181"/>
      <c r="D5" s="182"/>
      <c r="E5" s="120"/>
      <c r="F5" s="178"/>
      <c r="H5" s="114"/>
      <c r="I5" s="181"/>
      <c r="J5" s="182"/>
      <c r="K5" s="120"/>
      <c r="L5" s="178"/>
    </row>
    <row r="6" spans="2:17" s="29" customFormat="1" ht="17.45" customHeight="1" thickBot="1" x14ac:dyDescent="0.3">
      <c r="B6" s="134" t="s">
        <v>8</v>
      </c>
      <c r="C6" s="135"/>
      <c r="D6" s="135"/>
      <c r="E6" s="135"/>
      <c r="F6" s="136"/>
      <c r="H6" s="134" t="s">
        <v>8</v>
      </c>
      <c r="I6" s="135"/>
      <c r="J6" s="135"/>
      <c r="K6" s="135"/>
      <c r="L6" s="136"/>
    </row>
    <row r="7" spans="2:17" s="29" customFormat="1" ht="17.45" customHeight="1" x14ac:dyDescent="0.25">
      <c r="B7" s="32" t="s">
        <v>9</v>
      </c>
      <c r="C7" s="51"/>
      <c r="D7" s="148" t="s">
        <v>11</v>
      </c>
      <c r="E7" s="148"/>
      <c r="F7" s="41"/>
      <c r="H7" s="32" t="s">
        <v>9</v>
      </c>
      <c r="I7" s="51"/>
      <c r="J7" s="148" t="s">
        <v>11</v>
      </c>
      <c r="K7" s="148"/>
      <c r="L7" s="41"/>
    </row>
    <row r="8" spans="2:17" s="29" customFormat="1" ht="17.45" customHeight="1" x14ac:dyDescent="0.25">
      <c r="B8" s="30" t="s">
        <v>13</v>
      </c>
      <c r="C8" s="52"/>
      <c r="D8" s="149" t="s">
        <v>15</v>
      </c>
      <c r="E8" s="149"/>
      <c r="F8" s="38"/>
      <c r="H8" s="30" t="s">
        <v>13</v>
      </c>
      <c r="I8" s="52"/>
      <c r="J8" s="149" t="s">
        <v>15</v>
      </c>
      <c r="K8" s="149"/>
      <c r="L8" s="38"/>
    </row>
    <row r="9" spans="2:17" s="29" customFormat="1" ht="17.45" customHeight="1" x14ac:dyDescent="0.25">
      <c r="B9" s="30" t="s">
        <v>17</v>
      </c>
      <c r="C9" s="53"/>
      <c r="D9" s="149" t="s">
        <v>19</v>
      </c>
      <c r="E9" s="149"/>
      <c r="F9" s="38"/>
      <c r="H9" s="30" t="s">
        <v>17</v>
      </c>
      <c r="I9" s="53"/>
      <c r="J9" s="149" t="s">
        <v>19</v>
      </c>
      <c r="K9" s="149"/>
      <c r="L9" s="38"/>
      <c r="P9" s="72"/>
    </row>
    <row r="10" spans="2:17" s="29" customFormat="1" ht="17.45" customHeight="1" x14ac:dyDescent="0.25">
      <c r="B10" s="30" t="s">
        <v>21</v>
      </c>
      <c r="C10" s="53"/>
      <c r="D10" s="149" t="s">
        <v>23</v>
      </c>
      <c r="E10" s="149"/>
      <c r="F10" s="54"/>
      <c r="H10" s="30" t="s">
        <v>21</v>
      </c>
      <c r="I10" s="53"/>
      <c r="J10" s="149" t="s">
        <v>23</v>
      </c>
      <c r="K10" s="149"/>
      <c r="L10" s="54"/>
    </row>
    <row r="11" spans="2:17" s="29" customFormat="1" ht="17.45" customHeight="1" x14ac:dyDescent="0.25">
      <c r="B11" s="74" t="s">
        <v>25</v>
      </c>
      <c r="C11" s="185" t="str">
        <f>IFERROR((C10-C9)/C10,"FIELD WILL AUTO CALC")</f>
        <v>FIELD WILL AUTO CALC</v>
      </c>
      <c r="D11" s="185"/>
      <c r="E11" s="185"/>
      <c r="F11" s="186"/>
      <c r="H11" s="74" t="s">
        <v>25</v>
      </c>
      <c r="I11" s="185" t="str">
        <f>IFERROR((I10-I9)/I10,"FIELD WILL AUTO CALC")</f>
        <v>FIELD WILL AUTO CALC</v>
      </c>
      <c r="J11" s="185"/>
      <c r="K11" s="185"/>
      <c r="L11" s="186"/>
    </row>
    <row r="12" spans="2:17" s="29" customFormat="1" ht="17.45" customHeight="1" thickBot="1" x14ac:dyDescent="0.3">
      <c r="B12" s="42" t="s">
        <v>45</v>
      </c>
      <c r="C12" s="156" t="str">
        <f>IFERROR((C10-((F10*C9)+C9))/C10, "FIELD WILL AUTO CALC")</f>
        <v>FIELD WILL AUTO CALC</v>
      </c>
      <c r="D12" s="156"/>
      <c r="E12" s="156"/>
      <c r="F12" s="157"/>
      <c r="H12" s="42" t="s">
        <v>45</v>
      </c>
      <c r="I12" s="156" t="str">
        <f>IFERROR((I10-((L10*I9)+I9))/I10, "FIELD WILL AUTO CALC")</f>
        <v>FIELD WILL AUTO CALC</v>
      </c>
      <c r="J12" s="156"/>
      <c r="K12" s="156"/>
      <c r="L12" s="157"/>
      <c r="Q12" s="73"/>
    </row>
    <row r="13" spans="2:17" s="29" customFormat="1" ht="17.45" customHeight="1" thickBot="1" x14ac:dyDescent="0.3">
      <c r="B13" s="183" t="s">
        <v>27</v>
      </c>
      <c r="C13" s="184"/>
      <c r="D13" s="104" t="s">
        <v>28</v>
      </c>
      <c r="E13" s="105"/>
      <c r="F13" s="106"/>
      <c r="H13" s="183" t="s">
        <v>27</v>
      </c>
      <c r="I13" s="184"/>
      <c r="J13" s="104" t="s">
        <v>28</v>
      </c>
      <c r="K13" s="105"/>
      <c r="L13" s="106"/>
      <c r="O13" s="71"/>
    </row>
    <row r="14" spans="2:17" s="29" customFormat="1" ht="17.25" customHeight="1" x14ac:dyDescent="0.25">
      <c r="B14" s="32" t="s">
        <v>29</v>
      </c>
      <c r="C14" s="39"/>
      <c r="D14" s="158"/>
      <c r="E14" s="158"/>
      <c r="F14" s="159"/>
      <c r="H14" s="32" t="s">
        <v>29</v>
      </c>
      <c r="I14" s="39"/>
      <c r="J14" s="158"/>
      <c r="K14" s="158"/>
      <c r="L14" s="159"/>
    </row>
    <row r="15" spans="2:17" s="29" customFormat="1" ht="17.45" customHeight="1" x14ac:dyDescent="0.25">
      <c r="B15" s="30" t="s">
        <v>32</v>
      </c>
      <c r="C15" s="31"/>
      <c r="D15" s="160"/>
      <c r="E15" s="160"/>
      <c r="F15" s="161"/>
      <c r="H15" s="30" t="s">
        <v>32</v>
      </c>
      <c r="I15" s="31"/>
      <c r="J15" s="160"/>
      <c r="K15" s="160"/>
      <c r="L15" s="161"/>
    </row>
    <row r="16" spans="2:17" s="29" customFormat="1" ht="17.45" customHeight="1" x14ac:dyDescent="0.25">
      <c r="B16" s="30" t="s">
        <v>34</v>
      </c>
      <c r="C16" s="31"/>
      <c r="D16" s="160"/>
      <c r="E16" s="160"/>
      <c r="F16" s="161"/>
      <c r="H16" s="30" t="s">
        <v>34</v>
      </c>
      <c r="I16" s="31"/>
      <c r="J16" s="160"/>
      <c r="K16" s="160"/>
      <c r="L16" s="161"/>
    </row>
    <row r="17" spans="2:19" s="29" customFormat="1" ht="17.45" customHeight="1" x14ac:dyDescent="0.25">
      <c r="B17" s="30" t="s">
        <v>36</v>
      </c>
      <c r="C17" s="77"/>
      <c r="D17" s="160"/>
      <c r="E17" s="160"/>
      <c r="F17" s="161"/>
      <c r="H17" s="30" t="s">
        <v>36</v>
      </c>
      <c r="I17" s="77"/>
      <c r="J17" s="160"/>
      <c r="K17" s="160"/>
      <c r="L17" s="161"/>
    </row>
    <row r="18" spans="2:19" s="29" customFormat="1" ht="17.45" customHeight="1" x14ac:dyDescent="0.25">
      <c r="B18" s="30" t="s">
        <v>26</v>
      </c>
      <c r="C18" s="78" t="str">
        <f>IFERROR((C16-C15)/C16,"FIELD WILL AUTO CALC")</f>
        <v>FIELD WILL AUTO CALC</v>
      </c>
      <c r="D18" s="160"/>
      <c r="E18" s="160"/>
      <c r="F18" s="161"/>
      <c r="H18" s="30" t="s">
        <v>26</v>
      </c>
      <c r="I18" s="78" t="str">
        <f>IFERROR((I16-I15)/I16,"FIELD WILL AUTO CALC")</f>
        <v>FIELD WILL AUTO CALC</v>
      </c>
      <c r="J18" s="160"/>
      <c r="K18" s="160"/>
      <c r="L18" s="161"/>
      <c r="S18"/>
    </row>
    <row r="19" spans="2:19" s="29" customFormat="1" ht="17.45" customHeight="1" thickBot="1" x14ac:dyDescent="0.3">
      <c r="B19" s="42" t="s">
        <v>38</v>
      </c>
      <c r="C19" s="34" t="str">
        <f>IFERROR((C16-((C17*C15)+C15))/C16, "FIELD WILL AUTO CALC")</f>
        <v>FIELD WILL AUTO CALC</v>
      </c>
      <c r="D19" s="162"/>
      <c r="E19" s="162"/>
      <c r="F19" s="163"/>
      <c r="H19" s="42" t="s">
        <v>38</v>
      </c>
      <c r="I19" s="34" t="str">
        <f>IFERROR((I16-((I17*I15)+I15))/I16, "FIELD WILL AUTO CALC")</f>
        <v>FIELD WILL AUTO CALC</v>
      </c>
      <c r="J19" s="162"/>
      <c r="K19" s="162"/>
      <c r="L19" s="163"/>
      <c r="S19"/>
    </row>
    <row r="20" spans="2:19" s="29" customFormat="1" ht="17.45" customHeight="1" thickBot="1" x14ac:dyDescent="0.3">
      <c r="B20" s="76" t="s">
        <v>39</v>
      </c>
      <c r="C20" s="104" t="s">
        <v>40</v>
      </c>
      <c r="D20" s="141"/>
      <c r="E20" s="164"/>
      <c r="F20" s="40" t="s">
        <v>41</v>
      </c>
      <c r="H20" s="76" t="s">
        <v>39</v>
      </c>
      <c r="I20" s="104" t="s">
        <v>40</v>
      </c>
      <c r="J20" s="141"/>
      <c r="K20" s="164"/>
      <c r="L20" s="40" t="s">
        <v>41</v>
      </c>
    </row>
    <row r="21" spans="2:19" s="36" customFormat="1" ht="17.45" customHeight="1" x14ac:dyDescent="0.25">
      <c r="B21" s="153" t="s">
        <v>46</v>
      </c>
      <c r="C21" s="165"/>
      <c r="D21" s="166"/>
      <c r="E21" s="166"/>
      <c r="F21" s="171">
        <f>C10</f>
        <v>0</v>
      </c>
      <c r="H21" s="153" t="s">
        <v>46</v>
      </c>
      <c r="I21" s="165"/>
      <c r="J21" s="166"/>
      <c r="K21" s="166"/>
      <c r="L21" s="171">
        <f>I10</f>
        <v>0</v>
      </c>
    </row>
    <row r="22" spans="2:19" s="36" customFormat="1" ht="17.45" customHeight="1" x14ac:dyDescent="0.25">
      <c r="B22" s="154"/>
      <c r="C22" s="167"/>
      <c r="D22" s="168"/>
      <c r="E22" s="168"/>
      <c r="F22" s="172"/>
      <c r="H22" s="154"/>
      <c r="I22" s="167"/>
      <c r="J22" s="168"/>
      <c r="K22" s="168"/>
      <c r="L22" s="172"/>
    </row>
    <row r="23" spans="2:19" s="36" customFormat="1" ht="17.45" customHeight="1" x14ac:dyDescent="0.25">
      <c r="B23" s="154"/>
      <c r="C23" s="167"/>
      <c r="D23" s="168"/>
      <c r="E23" s="168"/>
      <c r="F23" s="172"/>
      <c r="H23" s="154"/>
      <c r="I23" s="167"/>
      <c r="J23" s="168"/>
      <c r="K23" s="168"/>
      <c r="L23" s="172"/>
    </row>
    <row r="24" spans="2:19" s="36" customFormat="1" ht="17.45" customHeight="1" x14ac:dyDescent="0.25">
      <c r="B24" s="154"/>
      <c r="C24" s="167"/>
      <c r="D24" s="168"/>
      <c r="E24" s="168"/>
      <c r="F24" s="172"/>
      <c r="H24" s="154"/>
      <c r="I24" s="167"/>
      <c r="J24" s="168"/>
      <c r="K24" s="168"/>
      <c r="L24" s="172"/>
    </row>
    <row r="25" spans="2:19" s="29" customFormat="1" ht="17.45" customHeight="1" thickBot="1" x14ac:dyDescent="0.3">
      <c r="B25" s="155"/>
      <c r="C25" s="169"/>
      <c r="D25" s="170"/>
      <c r="E25" s="170"/>
      <c r="F25" s="173"/>
      <c r="H25" s="155"/>
      <c r="I25" s="169"/>
      <c r="J25" s="170"/>
      <c r="K25" s="170"/>
      <c r="L25" s="173"/>
    </row>
    <row r="26" spans="2:19" s="37" customFormat="1" ht="24.95" customHeight="1" thickBot="1" x14ac:dyDescent="0.3">
      <c r="B26" s="27"/>
      <c r="C26" s="27"/>
    </row>
    <row r="27" spans="2:19" s="28" customFormat="1" ht="29.25" thickBot="1" x14ac:dyDescent="0.5">
      <c r="B27" s="107" t="str">
        <f>Instructions!$B$4</f>
        <v xml:space="preserve">Lucky Star </v>
      </c>
      <c r="C27" s="108"/>
      <c r="D27" s="108"/>
      <c r="E27" s="108"/>
      <c r="F27" s="109"/>
      <c r="H27" s="107" t="str">
        <f>Instructions!$B$4</f>
        <v xml:space="preserve">Lucky Star </v>
      </c>
      <c r="I27" s="108"/>
      <c r="J27" s="108"/>
      <c r="K27" s="108"/>
      <c r="L27" s="109"/>
    </row>
    <row r="28" spans="2:19" ht="19.5" thickBot="1" x14ac:dyDescent="0.35">
      <c r="B28" s="174" t="str">
        <f>Instructions!$B$5</f>
        <v xml:space="preserve">Program Name </v>
      </c>
      <c r="C28" s="175"/>
      <c r="D28" s="175"/>
      <c r="E28" s="175"/>
      <c r="F28" s="176"/>
      <c r="H28" s="174" t="str">
        <f>Instructions!$B$5</f>
        <v xml:space="preserve">Program Name </v>
      </c>
      <c r="I28" s="175"/>
      <c r="J28" s="175"/>
      <c r="K28" s="175"/>
      <c r="L28" s="176"/>
    </row>
    <row r="29" spans="2:19" s="29" customFormat="1" ht="17.45" customHeight="1" x14ac:dyDescent="0.25">
      <c r="B29" s="113" t="s">
        <v>2</v>
      </c>
      <c r="C29" s="179"/>
      <c r="D29" s="180"/>
      <c r="E29" s="119" t="s">
        <v>4</v>
      </c>
      <c r="F29" s="177"/>
      <c r="H29" s="113" t="s">
        <v>2</v>
      </c>
      <c r="I29" s="179"/>
      <c r="J29" s="180"/>
      <c r="K29" s="119" t="s">
        <v>4</v>
      </c>
      <c r="L29" s="177"/>
    </row>
    <row r="30" spans="2:19" s="29" customFormat="1" ht="17.45" customHeight="1" thickBot="1" x14ac:dyDescent="0.3">
      <c r="B30" s="114"/>
      <c r="C30" s="181"/>
      <c r="D30" s="182"/>
      <c r="E30" s="120"/>
      <c r="F30" s="178"/>
      <c r="H30" s="114"/>
      <c r="I30" s="181"/>
      <c r="J30" s="182"/>
      <c r="K30" s="120"/>
      <c r="L30" s="178"/>
    </row>
    <row r="31" spans="2:19" s="29" customFormat="1" ht="17.45" customHeight="1" thickBot="1" x14ac:dyDescent="0.3">
      <c r="B31" s="134" t="s">
        <v>8</v>
      </c>
      <c r="C31" s="135"/>
      <c r="D31" s="135"/>
      <c r="E31" s="135"/>
      <c r="F31" s="136"/>
      <c r="H31" s="134" t="s">
        <v>8</v>
      </c>
      <c r="I31" s="135"/>
      <c r="J31" s="135"/>
      <c r="K31" s="135"/>
      <c r="L31" s="136"/>
    </row>
    <row r="32" spans="2:19" s="29" customFormat="1" ht="17.45" customHeight="1" x14ac:dyDescent="0.25">
      <c r="B32" s="32" t="s">
        <v>9</v>
      </c>
      <c r="C32" s="51"/>
      <c r="D32" s="148" t="s">
        <v>11</v>
      </c>
      <c r="E32" s="148"/>
      <c r="F32" s="41"/>
      <c r="H32" s="32" t="s">
        <v>9</v>
      </c>
      <c r="I32" s="51"/>
      <c r="J32" s="148" t="s">
        <v>11</v>
      </c>
      <c r="K32" s="148"/>
      <c r="L32" s="41"/>
    </row>
    <row r="33" spans="2:12" s="29" customFormat="1" ht="17.45" customHeight="1" x14ac:dyDescent="0.25">
      <c r="B33" s="30" t="s">
        <v>13</v>
      </c>
      <c r="C33" s="52"/>
      <c r="D33" s="149" t="s">
        <v>15</v>
      </c>
      <c r="E33" s="149"/>
      <c r="F33" s="38"/>
      <c r="H33" s="30" t="s">
        <v>13</v>
      </c>
      <c r="I33" s="52"/>
      <c r="J33" s="149" t="s">
        <v>15</v>
      </c>
      <c r="K33" s="149"/>
      <c r="L33" s="38"/>
    </row>
    <row r="34" spans="2:12" s="29" customFormat="1" ht="17.45" customHeight="1" x14ac:dyDescent="0.25">
      <c r="B34" s="30" t="s">
        <v>17</v>
      </c>
      <c r="C34" s="53"/>
      <c r="D34" s="149" t="s">
        <v>19</v>
      </c>
      <c r="E34" s="149"/>
      <c r="F34" s="38"/>
      <c r="H34" s="30" t="s">
        <v>17</v>
      </c>
      <c r="I34" s="53"/>
      <c r="J34" s="149" t="s">
        <v>19</v>
      </c>
      <c r="K34" s="149"/>
      <c r="L34" s="38"/>
    </row>
    <row r="35" spans="2:12" s="29" customFormat="1" ht="17.45" customHeight="1" x14ac:dyDescent="0.25">
      <c r="B35" s="30" t="s">
        <v>21</v>
      </c>
      <c r="C35" s="53"/>
      <c r="D35" s="149" t="s">
        <v>23</v>
      </c>
      <c r="E35" s="149"/>
      <c r="F35" s="54"/>
      <c r="H35" s="30" t="s">
        <v>21</v>
      </c>
      <c r="I35" s="53"/>
      <c r="J35" s="149" t="s">
        <v>23</v>
      </c>
      <c r="K35" s="149"/>
      <c r="L35" s="54"/>
    </row>
    <row r="36" spans="2:12" s="29" customFormat="1" ht="17.45" customHeight="1" x14ac:dyDescent="0.25">
      <c r="B36" s="74" t="s">
        <v>25</v>
      </c>
      <c r="C36" s="185" t="str">
        <f>IFERROR((C35-C34)/C35,"FIELD WILL AUTO CALC")</f>
        <v>FIELD WILL AUTO CALC</v>
      </c>
      <c r="D36" s="185"/>
      <c r="E36" s="185"/>
      <c r="F36" s="186"/>
      <c r="H36" s="74" t="s">
        <v>25</v>
      </c>
      <c r="I36" s="185" t="str">
        <f>IFERROR((I35-I34)/I35,"FIELD WILL AUTO CALC")</f>
        <v>FIELD WILL AUTO CALC</v>
      </c>
      <c r="J36" s="185"/>
      <c r="K36" s="185"/>
      <c r="L36" s="186"/>
    </row>
    <row r="37" spans="2:12" s="29" customFormat="1" ht="17.45" customHeight="1" thickBot="1" x14ac:dyDescent="0.3">
      <c r="B37" s="42" t="s">
        <v>45</v>
      </c>
      <c r="C37" s="156" t="str">
        <f>IFERROR((C35-((F35*C34)+C34))/C35, "FIELD WILL AUTO CALC")</f>
        <v>FIELD WILL AUTO CALC</v>
      </c>
      <c r="D37" s="156"/>
      <c r="E37" s="156"/>
      <c r="F37" s="157"/>
      <c r="H37" s="42" t="s">
        <v>45</v>
      </c>
      <c r="I37" s="156" t="str">
        <f>IFERROR((I35-((L35*I34)+I34))/I35, "FIELD WILL AUTO CALC")</f>
        <v>FIELD WILL AUTO CALC</v>
      </c>
      <c r="J37" s="156"/>
      <c r="K37" s="156"/>
      <c r="L37" s="157"/>
    </row>
    <row r="38" spans="2:12" s="29" customFormat="1" ht="17.45" customHeight="1" thickBot="1" x14ac:dyDescent="0.3">
      <c r="B38" s="183" t="s">
        <v>27</v>
      </c>
      <c r="C38" s="184"/>
      <c r="D38" s="104" t="s">
        <v>28</v>
      </c>
      <c r="E38" s="105"/>
      <c r="F38" s="106"/>
      <c r="H38" s="183" t="s">
        <v>27</v>
      </c>
      <c r="I38" s="184"/>
      <c r="J38" s="104" t="s">
        <v>28</v>
      </c>
      <c r="K38" s="105"/>
      <c r="L38" s="106"/>
    </row>
    <row r="39" spans="2:12" s="29" customFormat="1" ht="17.45" customHeight="1" x14ac:dyDescent="0.25">
      <c r="B39" s="32" t="s">
        <v>29</v>
      </c>
      <c r="C39" s="39"/>
      <c r="D39" s="158"/>
      <c r="E39" s="158"/>
      <c r="F39" s="159"/>
      <c r="H39" s="32" t="s">
        <v>29</v>
      </c>
      <c r="I39" s="39"/>
      <c r="J39" s="158"/>
      <c r="K39" s="158"/>
      <c r="L39" s="159"/>
    </row>
    <row r="40" spans="2:12" s="29" customFormat="1" ht="17.45" customHeight="1" x14ac:dyDescent="0.25">
      <c r="B40" s="30" t="s">
        <v>32</v>
      </c>
      <c r="C40" s="31"/>
      <c r="D40" s="160"/>
      <c r="E40" s="160"/>
      <c r="F40" s="161"/>
      <c r="H40" s="30" t="s">
        <v>32</v>
      </c>
      <c r="I40" s="31"/>
      <c r="J40" s="160"/>
      <c r="K40" s="160"/>
      <c r="L40" s="161"/>
    </row>
    <row r="41" spans="2:12" s="29" customFormat="1" ht="17.45" customHeight="1" x14ac:dyDescent="0.25">
      <c r="B41" s="30" t="s">
        <v>34</v>
      </c>
      <c r="C41" s="31"/>
      <c r="D41" s="160"/>
      <c r="E41" s="160"/>
      <c r="F41" s="161"/>
      <c r="H41" s="30" t="s">
        <v>34</v>
      </c>
      <c r="I41" s="31"/>
      <c r="J41" s="160"/>
      <c r="K41" s="160"/>
      <c r="L41" s="161"/>
    </row>
    <row r="42" spans="2:12" s="29" customFormat="1" ht="17.45" customHeight="1" x14ac:dyDescent="0.25">
      <c r="B42" s="30" t="s">
        <v>36</v>
      </c>
      <c r="C42" s="77"/>
      <c r="D42" s="160"/>
      <c r="E42" s="160"/>
      <c r="F42" s="161"/>
      <c r="H42" s="30" t="s">
        <v>36</v>
      </c>
      <c r="I42" s="77"/>
      <c r="J42" s="160"/>
      <c r="K42" s="160"/>
      <c r="L42" s="161"/>
    </row>
    <row r="43" spans="2:12" s="29" customFormat="1" ht="17.45" customHeight="1" x14ac:dyDescent="0.25">
      <c r="B43" s="30" t="s">
        <v>26</v>
      </c>
      <c r="C43" s="78" t="str">
        <f>IFERROR((C41-C40)/C41,"FIELD WILL AUTO CALC")</f>
        <v>FIELD WILL AUTO CALC</v>
      </c>
      <c r="D43" s="160"/>
      <c r="E43" s="160"/>
      <c r="F43" s="161"/>
      <c r="H43" s="30" t="s">
        <v>26</v>
      </c>
      <c r="I43" s="78" t="str">
        <f>IFERROR((I41-I40)/I41,"FIELD WILL AUTO CALC")</f>
        <v>FIELD WILL AUTO CALC</v>
      </c>
      <c r="J43" s="160"/>
      <c r="K43" s="160"/>
      <c r="L43" s="161"/>
    </row>
    <row r="44" spans="2:12" s="29" customFormat="1" ht="17.45" customHeight="1" thickBot="1" x14ac:dyDescent="0.3">
      <c r="B44" s="42" t="s">
        <v>38</v>
      </c>
      <c r="C44" s="34" t="str">
        <f>IFERROR((C41-((C42*C40)+C40))/C41, "FIELD WILL AUTO CALC")</f>
        <v>FIELD WILL AUTO CALC</v>
      </c>
      <c r="D44" s="162"/>
      <c r="E44" s="162"/>
      <c r="F44" s="163"/>
      <c r="H44" s="42" t="s">
        <v>38</v>
      </c>
      <c r="I44" s="34" t="str">
        <f>IFERROR((I41-((I42*I40)+I40))/I41, "FIELD WILL AUTO CALC")</f>
        <v>FIELD WILL AUTO CALC</v>
      </c>
      <c r="J44" s="162"/>
      <c r="K44" s="162"/>
      <c r="L44" s="163"/>
    </row>
    <row r="45" spans="2:12" s="36" customFormat="1" ht="17.45" customHeight="1" thickBot="1" x14ac:dyDescent="0.3">
      <c r="B45" s="76" t="s">
        <v>39</v>
      </c>
      <c r="C45" s="104" t="s">
        <v>40</v>
      </c>
      <c r="D45" s="141"/>
      <c r="E45" s="164"/>
      <c r="F45" s="40" t="s">
        <v>41</v>
      </c>
      <c r="H45" s="76" t="s">
        <v>39</v>
      </c>
      <c r="I45" s="104" t="s">
        <v>40</v>
      </c>
      <c r="J45" s="141"/>
      <c r="K45" s="164"/>
      <c r="L45" s="40" t="s">
        <v>41</v>
      </c>
    </row>
    <row r="46" spans="2:12" s="36" customFormat="1" ht="17.45" customHeight="1" x14ac:dyDescent="0.25">
      <c r="B46" s="153" t="s">
        <v>46</v>
      </c>
      <c r="C46" s="165"/>
      <c r="D46" s="166"/>
      <c r="E46" s="166"/>
      <c r="F46" s="171">
        <f>C35</f>
        <v>0</v>
      </c>
      <c r="H46" s="153" t="s">
        <v>46</v>
      </c>
      <c r="I46" s="165"/>
      <c r="J46" s="166"/>
      <c r="K46" s="166"/>
      <c r="L46" s="171">
        <f>I35</f>
        <v>0</v>
      </c>
    </row>
    <row r="47" spans="2:12" s="36" customFormat="1" ht="17.45" customHeight="1" x14ac:dyDescent="0.25">
      <c r="B47" s="154"/>
      <c r="C47" s="167"/>
      <c r="D47" s="168"/>
      <c r="E47" s="168"/>
      <c r="F47" s="172"/>
      <c r="H47" s="154"/>
      <c r="I47" s="167"/>
      <c r="J47" s="168"/>
      <c r="K47" s="168"/>
      <c r="L47" s="172"/>
    </row>
    <row r="48" spans="2:12" s="36" customFormat="1" ht="17.45" customHeight="1" x14ac:dyDescent="0.25">
      <c r="B48" s="154"/>
      <c r="C48" s="167"/>
      <c r="D48" s="168"/>
      <c r="E48" s="168"/>
      <c r="F48" s="172"/>
      <c r="H48" s="154"/>
      <c r="I48" s="167"/>
      <c r="J48" s="168"/>
      <c r="K48" s="168"/>
      <c r="L48" s="172"/>
    </row>
    <row r="49" spans="2:12" s="29" customFormat="1" ht="17.45" customHeight="1" x14ac:dyDescent="0.25">
      <c r="B49" s="154"/>
      <c r="C49" s="167"/>
      <c r="D49" s="168"/>
      <c r="E49" s="168"/>
      <c r="F49" s="172"/>
      <c r="H49" s="154"/>
      <c r="I49" s="167"/>
      <c r="J49" s="168"/>
      <c r="K49" s="168"/>
      <c r="L49" s="172"/>
    </row>
    <row r="50" spans="2:12" ht="24.95" customHeight="1" thickBot="1" x14ac:dyDescent="0.3">
      <c r="B50" s="155"/>
      <c r="C50" s="169"/>
      <c r="D50" s="170"/>
      <c r="E50" s="170"/>
      <c r="F50" s="173"/>
      <c r="H50" s="155"/>
      <c r="I50" s="169"/>
      <c r="J50" s="170"/>
      <c r="K50" s="170"/>
      <c r="L50" s="173"/>
    </row>
    <row r="51" spans="2:12" ht="24.95" customHeight="1" thickBot="1" x14ac:dyDescent="0.3"/>
    <row r="52" spans="2:12" s="28" customFormat="1" ht="29.25" thickBot="1" x14ac:dyDescent="0.5">
      <c r="B52" s="107" t="str">
        <f>Instructions!$B$4</f>
        <v xml:space="preserve">Lucky Star </v>
      </c>
      <c r="C52" s="108"/>
      <c r="D52" s="108"/>
      <c r="E52" s="108"/>
      <c r="F52" s="109"/>
      <c r="H52" s="107" t="str">
        <f>Instructions!$B$4</f>
        <v xml:space="preserve">Lucky Star </v>
      </c>
      <c r="I52" s="108"/>
      <c r="J52" s="108"/>
      <c r="K52" s="108"/>
      <c r="L52" s="109"/>
    </row>
    <row r="53" spans="2:12" ht="19.5" thickBot="1" x14ac:dyDescent="0.35">
      <c r="B53" s="174" t="str">
        <f>Instructions!$B$5</f>
        <v xml:space="preserve">Program Name </v>
      </c>
      <c r="C53" s="175"/>
      <c r="D53" s="175"/>
      <c r="E53" s="175"/>
      <c r="F53" s="176"/>
      <c r="H53" s="174" t="str">
        <f>Instructions!$B$5</f>
        <v xml:space="preserve">Program Name </v>
      </c>
      <c r="I53" s="175"/>
      <c r="J53" s="175"/>
      <c r="K53" s="175"/>
      <c r="L53" s="176"/>
    </row>
    <row r="54" spans="2:12" s="29" customFormat="1" ht="17.45" customHeight="1" x14ac:dyDescent="0.25">
      <c r="B54" s="113" t="s">
        <v>2</v>
      </c>
      <c r="C54" s="179"/>
      <c r="D54" s="180"/>
      <c r="E54" s="119" t="s">
        <v>4</v>
      </c>
      <c r="F54" s="177"/>
      <c r="H54" s="113" t="s">
        <v>2</v>
      </c>
      <c r="I54" s="179"/>
      <c r="J54" s="180"/>
      <c r="K54" s="119" t="s">
        <v>4</v>
      </c>
      <c r="L54" s="177"/>
    </row>
    <row r="55" spans="2:12" s="29" customFormat="1" ht="17.45" customHeight="1" thickBot="1" x14ac:dyDescent="0.3">
      <c r="B55" s="114"/>
      <c r="C55" s="181"/>
      <c r="D55" s="182"/>
      <c r="E55" s="120"/>
      <c r="F55" s="178"/>
      <c r="H55" s="114"/>
      <c r="I55" s="181"/>
      <c r="J55" s="182"/>
      <c r="K55" s="120"/>
      <c r="L55" s="178"/>
    </row>
    <row r="56" spans="2:12" s="29" customFormat="1" ht="17.45" customHeight="1" thickBot="1" x14ac:dyDescent="0.3">
      <c r="B56" s="134" t="s">
        <v>8</v>
      </c>
      <c r="C56" s="135"/>
      <c r="D56" s="135"/>
      <c r="E56" s="135"/>
      <c r="F56" s="136"/>
      <c r="H56" s="134" t="s">
        <v>8</v>
      </c>
      <c r="I56" s="135"/>
      <c r="J56" s="135"/>
      <c r="K56" s="135"/>
      <c r="L56" s="136"/>
    </row>
    <row r="57" spans="2:12" s="29" customFormat="1" ht="17.45" customHeight="1" x14ac:dyDescent="0.25">
      <c r="B57" s="32" t="s">
        <v>9</v>
      </c>
      <c r="C57" s="51"/>
      <c r="D57" s="148" t="s">
        <v>11</v>
      </c>
      <c r="E57" s="148"/>
      <c r="F57" s="41"/>
      <c r="H57" s="32" t="s">
        <v>9</v>
      </c>
      <c r="I57" s="51"/>
      <c r="J57" s="148" t="s">
        <v>11</v>
      </c>
      <c r="K57" s="148"/>
      <c r="L57" s="41"/>
    </row>
    <row r="58" spans="2:12" s="29" customFormat="1" ht="17.45" customHeight="1" x14ac:dyDescent="0.25">
      <c r="B58" s="30" t="s">
        <v>13</v>
      </c>
      <c r="C58" s="52"/>
      <c r="D58" s="149" t="s">
        <v>15</v>
      </c>
      <c r="E58" s="149"/>
      <c r="F58" s="38"/>
      <c r="H58" s="30" t="s">
        <v>13</v>
      </c>
      <c r="I58" s="52"/>
      <c r="J58" s="149" t="s">
        <v>15</v>
      </c>
      <c r="K58" s="149"/>
      <c r="L58" s="38"/>
    </row>
    <row r="59" spans="2:12" s="29" customFormat="1" ht="17.45" customHeight="1" x14ac:dyDescent="0.25">
      <c r="B59" s="30" t="s">
        <v>17</v>
      </c>
      <c r="C59" s="53"/>
      <c r="D59" s="149" t="s">
        <v>19</v>
      </c>
      <c r="E59" s="149"/>
      <c r="F59" s="38"/>
      <c r="H59" s="30" t="s">
        <v>17</v>
      </c>
      <c r="I59" s="53"/>
      <c r="J59" s="149" t="s">
        <v>19</v>
      </c>
      <c r="K59" s="149"/>
      <c r="L59" s="38"/>
    </row>
    <row r="60" spans="2:12" s="29" customFormat="1" ht="17.45" customHeight="1" x14ac:dyDescent="0.25">
      <c r="B60" s="30" t="s">
        <v>21</v>
      </c>
      <c r="C60" s="53"/>
      <c r="D60" s="149" t="s">
        <v>23</v>
      </c>
      <c r="E60" s="149"/>
      <c r="F60" s="54"/>
      <c r="H60" s="30" t="s">
        <v>21</v>
      </c>
      <c r="I60" s="53"/>
      <c r="J60" s="149" t="s">
        <v>23</v>
      </c>
      <c r="K60" s="149"/>
      <c r="L60" s="54"/>
    </row>
    <row r="61" spans="2:12" s="29" customFormat="1" ht="17.45" customHeight="1" x14ac:dyDescent="0.25">
      <c r="B61" s="74" t="s">
        <v>25</v>
      </c>
      <c r="C61" s="185" t="str">
        <f>IFERROR((C60-C59)/C60,"FIELD WILL AUTO CALC")</f>
        <v>FIELD WILL AUTO CALC</v>
      </c>
      <c r="D61" s="185"/>
      <c r="E61" s="185"/>
      <c r="F61" s="186"/>
      <c r="H61" s="74" t="s">
        <v>25</v>
      </c>
      <c r="I61" s="185" t="str">
        <f>IFERROR((I60-I59)/I60,"FIELD WILL AUTO CALC")</f>
        <v>FIELD WILL AUTO CALC</v>
      </c>
      <c r="J61" s="185"/>
      <c r="K61" s="185"/>
      <c r="L61" s="186"/>
    </row>
    <row r="62" spans="2:12" s="29" customFormat="1" ht="17.45" customHeight="1" thickBot="1" x14ac:dyDescent="0.3">
      <c r="B62" s="42" t="s">
        <v>45</v>
      </c>
      <c r="C62" s="156" t="str">
        <f>IFERROR((C60-((F60*C59)+C59))/C60, "FIELD WILL AUTO CALC")</f>
        <v>FIELD WILL AUTO CALC</v>
      </c>
      <c r="D62" s="156"/>
      <c r="E62" s="156"/>
      <c r="F62" s="157"/>
      <c r="H62" s="42" t="s">
        <v>45</v>
      </c>
      <c r="I62" s="156" t="str">
        <f>IFERROR((I60-((L60*I59)+I59))/I60, "FIELD WILL AUTO CALC")</f>
        <v>FIELD WILL AUTO CALC</v>
      </c>
      <c r="J62" s="156"/>
      <c r="K62" s="156"/>
      <c r="L62" s="157"/>
    </row>
    <row r="63" spans="2:12" s="29" customFormat="1" ht="17.45" customHeight="1" thickBot="1" x14ac:dyDescent="0.3">
      <c r="B63" s="183" t="s">
        <v>27</v>
      </c>
      <c r="C63" s="184"/>
      <c r="D63" s="104" t="s">
        <v>28</v>
      </c>
      <c r="E63" s="105"/>
      <c r="F63" s="106"/>
      <c r="H63" s="183" t="s">
        <v>27</v>
      </c>
      <c r="I63" s="184"/>
      <c r="J63" s="104" t="s">
        <v>28</v>
      </c>
      <c r="K63" s="105"/>
      <c r="L63" s="106"/>
    </row>
    <row r="64" spans="2:12" s="29" customFormat="1" ht="17.45" customHeight="1" x14ac:dyDescent="0.25">
      <c r="B64" s="32" t="s">
        <v>29</v>
      </c>
      <c r="C64" s="39"/>
      <c r="D64" s="158"/>
      <c r="E64" s="158"/>
      <c r="F64" s="159"/>
      <c r="H64" s="32" t="s">
        <v>29</v>
      </c>
      <c r="I64" s="39"/>
      <c r="J64" s="158"/>
      <c r="K64" s="158"/>
      <c r="L64" s="159"/>
    </row>
    <row r="65" spans="2:12" s="29" customFormat="1" ht="17.45" customHeight="1" x14ac:dyDescent="0.25">
      <c r="B65" s="30" t="s">
        <v>32</v>
      </c>
      <c r="C65" s="31"/>
      <c r="D65" s="160"/>
      <c r="E65" s="160"/>
      <c r="F65" s="161"/>
      <c r="H65" s="30" t="s">
        <v>32</v>
      </c>
      <c r="I65" s="31"/>
      <c r="J65" s="160"/>
      <c r="K65" s="160"/>
      <c r="L65" s="161"/>
    </row>
    <row r="66" spans="2:12" s="29" customFormat="1" ht="17.45" customHeight="1" x14ac:dyDescent="0.25">
      <c r="B66" s="30" t="s">
        <v>34</v>
      </c>
      <c r="C66" s="31"/>
      <c r="D66" s="160"/>
      <c r="E66" s="160"/>
      <c r="F66" s="161"/>
      <c r="H66" s="30" t="s">
        <v>34</v>
      </c>
      <c r="I66" s="31"/>
      <c r="J66" s="160"/>
      <c r="K66" s="160"/>
      <c r="L66" s="161"/>
    </row>
    <row r="67" spans="2:12" s="29" customFormat="1" ht="17.45" customHeight="1" x14ac:dyDescent="0.25">
      <c r="B67" s="30" t="s">
        <v>36</v>
      </c>
      <c r="C67" s="77"/>
      <c r="D67" s="160"/>
      <c r="E67" s="160"/>
      <c r="F67" s="161"/>
      <c r="H67" s="30" t="s">
        <v>36</v>
      </c>
      <c r="I67" s="77"/>
      <c r="J67" s="160"/>
      <c r="K67" s="160"/>
      <c r="L67" s="161"/>
    </row>
    <row r="68" spans="2:12" s="29" customFormat="1" ht="17.45" customHeight="1" x14ac:dyDescent="0.25">
      <c r="B68" s="30" t="s">
        <v>26</v>
      </c>
      <c r="C68" s="78" t="str">
        <f>IFERROR((C66-C65)/C66,"FIELD WILL AUTO CALC")</f>
        <v>FIELD WILL AUTO CALC</v>
      </c>
      <c r="D68" s="160"/>
      <c r="E68" s="160"/>
      <c r="F68" s="161"/>
      <c r="H68" s="30" t="s">
        <v>26</v>
      </c>
      <c r="I68" s="78" t="str">
        <f>IFERROR((I66-I65)/I66,"FIELD WILL AUTO CALC")</f>
        <v>FIELD WILL AUTO CALC</v>
      </c>
      <c r="J68" s="160"/>
      <c r="K68" s="160"/>
      <c r="L68" s="161"/>
    </row>
    <row r="69" spans="2:12" s="29" customFormat="1" ht="17.45" customHeight="1" thickBot="1" x14ac:dyDescent="0.3">
      <c r="B69" s="42" t="s">
        <v>38</v>
      </c>
      <c r="C69" s="34" t="str">
        <f>IFERROR((C66-((C67*C65)+C65))/C66, "FIELD WILL AUTO CALC")</f>
        <v>FIELD WILL AUTO CALC</v>
      </c>
      <c r="D69" s="162"/>
      <c r="E69" s="162"/>
      <c r="F69" s="163"/>
      <c r="H69" s="42" t="s">
        <v>38</v>
      </c>
      <c r="I69" s="34" t="str">
        <f>IFERROR((I66-((I67*I65)+I65))/I66, "FIELD WILL AUTO CALC")</f>
        <v>FIELD WILL AUTO CALC</v>
      </c>
      <c r="J69" s="162"/>
      <c r="K69" s="162"/>
      <c r="L69" s="163"/>
    </row>
    <row r="70" spans="2:12" s="36" customFormat="1" ht="17.45" customHeight="1" thickBot="1" x14ac:dyDescent="0.3">
      <c r="B70" s="76" t="s">
        <v>39</v>
      </c>
      <c r="C70" s="104" t="s">
        <v>40</v>
      </c>
      <c r="D70" s="141"/>
      <c r="E70" s="164"/>
      <c r="F70" s="40" t="s">
        <v>41</v>
      </c>
      <c r="H70" s="76" t="s">
        <v>39</v>
      </c>
      <c r="I70" s="104" t="s">
        <v>40</v>
      </c>
      <c r="J70" s="141"/>
      <c r="K70" s="164"/>
      <c r="L70" s="40" t="s">
        <v>41</v>
      </c>
    </row>
    <row r="71" spans="2:12" s="36" customFormat="1" ht="17.45" customHeight="1" x14ac:dyDescent="0.25">
      <c r="B71" s="153" t="s">
        <v>46</v>
      </c>
      <c r="C71" s="165"/>
      <c r="D71" s="166"/>
      <c r="E71" s="166"/>
      <c r="F71" s="171">
        <f>C60</f>
        <v>0</v>
      </c>
      <c r="H71" s="153" t="s">
        <v>46</v>
      </c>
      <c r="I71" s="165"/>
      <c r="J71" s="166"/>
      <c r="K71" s="166"/>
      <c r="L71" s="171">
        <f>I60</f>
        <v>0</v>
      </c>
    </row>
    <row r="72" spans="2:12" s="36" customFormat="1" ht="17.45" customHeight="1" x14ac:dyDescent="0.25">
      <c r="B72" s="154"/>
      <c r="C72" s="167"/>
      <c r="D72" s="168"/>
      <c r="E72" s="168"/>
      <c r="F72" s="172"/>
      <c r="H72" s="154"/>
      <c r="I72" s="167"/>
      <c r="J72" s="168"/>
      <c r="K72" s="168"/>
      <c r="L72" s="172"/>
    </row>
    <row r="73" spans="2:12" s="36" customFormat="1" ht="17.45" customHeight="1" x14ac:dyDescent="0.25">
      <c r="B73" s="154"/>
      <c r="C73" s="167"/>
      <c r="D73" s="168"/>
      <c r="E73" s="168"/>
      <c r="F73" s="172"/>
      <c r="H73" s="154"/>
      <c r="I73" s="167"/>
      <c r="J73" s="168"/>
      <c r="K73" s="168"/>
      <c r="L73" s="172"/>
    </row>
    <row r="74" spans="2:12" s="29" customFormat="1" ht="17.45" customHeight="1" x14ac:dyDescent="0.25">
      <c r="B74" s="154"/>
      <c r="C74" s="167"/>
      <c r="D74" s="168"/>
      <c r="E74" s="168"/>
      <c r="F74" s="172"/>
      <c r="H74" s="154"/>
      <c r="I74" s="167"/>
      <c r="J74" s="168"/>
      <c r="K74" s="168"/>
      <c r="L74" s="172"/>
    </row>
    <row r="75" spans="2:12" ht="24.95" customHeight="1" thickBot="1" x14ac:dyDescent="0.3">
      <c r="B75" s="155"/>
      <c r="C75" s="169"/>
      <c r="D75" s="170"/>
      <c r="E75" s="170"/>
      <c r="F75" s="173"/>
      <c r="H75" s="155"/>
      <c r="I75" s="169"/>
      <c r="J75" s="170"/>
      <c r="K75" s="170"/>
      <c r="L75" s="173"/>
    </row>
    <row r="76" spans="2:12" ht="24.95" customHeight="1" thickBot="1" x14ac:dyDescent="0.3"/>
    <row r="77" spans="2:12" s="28" customFormat="1" ht="29.25" thickBot="1" x14ac:dyDescent="0.5">
      <c r="B77" s="107" t="str">
        <f>Instructions!$B$4</f>
        <v xml:space="preserve">Lucky Star </v>
      </c>
      <c r="C77" s="108"/>
      <c r="D77" s="108"/>
      <c r="E77" s="108"/>
      <c r="F77" s="109"/>
      <c r="H77" s="107" t="str">
        <f>Instructions!$B$4</f>
        <v xml:space="preserve">Lucky Star </v>
      </c>
      <c r="I77" s="108"/>
      <c r="J77" s="108"/>
      <c r="K77" s="108"/>
      <c r="L77" s="109"/>
    </row>
    <row r="78" spans="2:12" ht="19.5" thickBot="1" x14ac:dyDescent="0.35">
      <c r="B78" s="174" t="str">
        <f>Instructions!$B$5</f>
        <v xml:space="preserve">Program Name </v>
      </c>
      <c r="C78" s="175"/>
      <c r="D78" s="175"/>
      <c r="E78" s="175"/>
      <c r="F78" s="176"/>
      <c r="H78" s="174" t="str">
        <f>Instructions!$B$5</f>
        <v xml:space="preserve">Program Name </v>
      </c>
      <c r="I78" s="175"/>
      <c r="J78" s="175"/>
      <c r="K78" s="175"/>
      <c r="L78" s="176"/>
    </row>
    <row r="79" spans="2:12" s="29" customFormat="1" ht="17.45" customHeight="1" x14ac:dyDescent="0.25">
      <c r="B79" s="113" t="s">
        <v>2</v>
      </c>
      <c r="C79" s="179"/>
      <c r="D79" s="180"/>
      <c r="E79" s="119" t="s">
        <v>4</v>
      </c>
      <c r="F79" s="177"/>
      <c r="H79" s="113" t="s">
        <v>2</v>
      </c>
      <c r="I79" s="179"/>
      <c r="J79" s="180"/>
      <c r="K79" s="119" t="s">
        <v>4</v>
      </c>
      <c r="L79" s="177"/>
    </row>
    <row r="80" spans="2:12" s="29" customFormat="1" ht="17.45" customHeight="1" thickBot="1" x14ac:dyDescent="0.3">
      <c r="B80" s="114"/>
      <c r="C80" s="181"/>
      <c r="D80" s="182"/>
      <c r="E80" s="120"/>
      <c r="F80" s="178"/>
      <c r="H80" s="114"/>
      <c r="I80" s="181"/>
      <c r="J80" s="182"/>
      <c r="K80" s="120"/>
      <c r="L80" s="178"/>
    </row>
    <row r="81" spans="2:12" s="29" customFormat="1" ht="17.45" customHeight="1" thickBot="1" x14ac:dyDescent="0.3">
      <c r="B81" s="134" t="s">
        <v>8</v>
      </c>
      <c r="C81" s="135"/>
      <c r="D81" s="135"/>
      <c r="E81" s="135"/>
      <c r="F81" s="136"/>
      <c r="H81" s="134" t="s">
        <v>8</v>
      </c>
      <c r="I81" s="135"/>
      <c r="J81" s="135"/>
      <c r="K81" s="135"/>
      <c r="L81" s="136"/>
    </row>
    <row r="82" spans="2:12" s="29" customFormat="1" ht="17.45" customHeight="1" x14ac:dyDescent="0.25">
      <c r="B82" s="32" t="s">
        <v>9</v>
      </c>
      <c r="C82" s="51"/>
      <c r="D82" s="148" t="s">
        <v>11</v>
      </c>
      <c r="E82" s="148"/>
      <c r="F82" s="41"/>
      <c r="H82" s="32" t="s">
        <v>9</v>
      </c>
      <c r="I82" s="51"/>
      <c r="J82" s="148" t="s">
        <v>11</v>
      </c>
      <c r="K82" s="148"/>
      <c r="L82" s="41"/>
    </row>
    <row r="83" spans="2:12" s="29" customFormat="1" ht="17.45" customHeight="1" x14ac:dyDescent="0.25">
      <c r="B83" s="30" t="s">
        <v>13</v>
      </c>
      <c r="C83" s="52"/>
      <c r="D83" s="149" t="s">
        <v>15</v>
      </c>
      <c r="E83" s="149"/>
      <c r="F83" s="38"/>
      <c r="H83" s="30" t="s">
        <v>13</v>
      </c>
      <c r="I83" s="52"/>
      <c r="J83" s="149" t="s">
        <v>15</v>
      </c>
      <c r="K83" s="149"/>
      <c r="L83" s="38"/>
    </row>
    <row r="84" spans="2:12" s="29" customFormat="1" ht="17.45" customHeight="1" x14ac:dyDescent="0.25">
      <c r="B84" s="30" t="s">
        <v>17</v>
      </c>
      <c r="C84" s="53"/>
      <c r="D84" s="149" t="s">
        <v>19</v>
      </c>
      <c r="E84" s="149"/>
      <c r="F84" s="38"/>
      <c r="H84" s="30" t="s">
        <v>17</v>
      </c>
      <c r="I84" s="53"/>
      <c r="J84" s="149" t="s">
        <v>19</v>
      </c>
      <c r="K84" s="149"/>
      <c r="L84" s="38"/>
    </row>
    <row r="85" spans="2:12" s="29" customFormat="1" ht="17.45" customHeight="1" x14ac:dyDescent="0.25">
      <c r="B85" s="30" t="s">
        <v>21</v>
      </c>
      <c r="C85" s="53"/>
      <c r="D85" s="149" t="s">
        <v>23</v>
      </c>
      <c r="E85" s="149"/>
      <c r="F85" s="54"/>
      <c r="H85" s="30" t="s">
        <v>21</v>
      </c>
      <c r="I85" s="53"/>
      <c r="J85" s="149" t="s">
        <v>23</v>
      </c>
      <c r="K85" s="149"/>
      <c r="L85" s="54"/>
    </row>
    <row r="86" spans="2:12" s="29" customFormat="1" ht="17.45" customHeight="1" x14ac:dyDescent="0.25">
      <c r="B86" s="74" t="s">
        <v>25</v>
      </c>
      <c r="C86" s="185" t="str">
        <f>IFERROR((C85-C84)/C85,"FIELD WILL AUTO CALC")</f>
        <v>FIELD WILL AUTO CALC</v>
      </c>
      <c r="D86" s="185"/>
      <c r="E86" s="185"/>
      <c r="F86" s="186"/>
      <c r="H86" s="74" t="s">
        <v>25</v>
      </c>
      <c r="I86" s="185" t="str">
        <f>IFERROR((I85-I84)/I85,"FIELD WILL AUTO CALC")</f>
        <v>FIELD WILL AUTO CALC</v>
      </c>
      <c r="J86" s="185"/>
      <c r="K86" s="185"/>
      <c r="L86" s="186"/>
    </row>
    <row r="87" spans="2:12" s="29" customFormat="1" ht="17.45" customHeight="1" thickBot="1" x14ac:dyDescent="0.3">
      <c r="B87" s="42" t="s">
        <v>45</v>
      </c>
      <c r="C87" s="156" t="str">
        <f>IFERROR((C85-((F85*C84)+C84))/C85, "FIELD WILL AUTO CALC")</f>
        <v>FIELD WILL AUTO CALC</v>
      </c>
      <c r="D87" s="156"/>
      <c r="E87" s="156"/>
      <c r="F87" s="157"/>
      <c r="H87" s="42" t="s">
        <v>45</v>
      </c>
      <c r="I87" s="156" t="str">
        <f>IFERROR((I85-((L85*I84)+I84))/I85, "FIELD WILL AUTO CALC")</f>
        <v>FIELD WILL AUTO CALC</v>
      </c>
      <c r="J87" s="156"/>
      <c r="K87" s="156"/>
      <c r="L87" s="157"/>
    </row>
    <row r="88" spans="2:12" s="29" customFormat="1" ht="17.45" customHeight="1" thickBot="1" x14ac:dyDescent="0.3">
      <c r="B88" s="183" t="s">
        <v>27</v>
      </c>
      <c r="C88" s="184"/>
      <c r="D88" s="104" t="s">
        <v>28</v>
      </c>
      <c r="E88" s="105"/>
      <c r="F88" s="106"/>
      <c r="H88" s="183" t="s">
        <v>27</v>
      </c>
      <c r="I88" s="184"/>
      <c r="J88" s="104" t="s">
        <v>28</v>
      </c>
      <c r="K88" s="105"/>
      <c r="L88" s="106"/>
    </row>
    <row r="89" spans="2:12" s="29" customFormat="1" ht="17.45" customHeight="1" x14ac:dyDescent="0.25">
      <c r="B89" s="32" t="s">
        <v>29</v>
      </c>
      <c r="C89" s="39"/>
      <c r="D89" s="158"/>
      <c r="E89" s="158"/>
      <c r="F89" s="159"/>
      <c r="H89" s="32" t="s">
        <v>29</v>
      </c>
      <c r="I89" s="39"/>
      <c r="J89" s="158"/>
      <c r="K89" s="158"/>
      <c r="L89" s="159"/>
    </row>
    <row r="90" spans="2:12" s="29" customFormat="1" ht="17.45" customHeight="1" x14ac:dyDescent="0.25">
      <c r="B90" s="30" t="s">
        <v>32</v>
      </c>
      <c r="C90" s="31"/>
      <c r="D90" s="160"/>
      <c r="E90" s="160"/>
      <c r="F90" s="161"/>
      <c r="H90" s="30" t="s">
        <v>32</v>
      </c>
      <c r="I90" s="31"/>
      <c r="J90" s="160"/>
      <c r="K90" s="160"/>
      <c r="L90" s="161"/>
    </row>
    <row r="91" spans="2:12" s="29" customFormat="1" ht="17.45" customHeight="1" x14ac:dyDescent="0.25">
      <c r="B91" s="30" t="s">
        <v>34</v>
      </c>
      <c r="C91" s="31"/>
      <c r="D91" s="160"/>
      <c r="E91" s="160"/>
      <c r="F91" s="161"/>
      <c r="H91" s="30" t="s">
        <v>34</v>
      </c>
      <c r="I91" s="31"/>
      <c r="J91" s="160"/>
      <c r="K91" s="160"/>
      <c r="L91" s="161"/>
    </row>
    <row r="92" spans="2:12" s="29" customFormat="1" ht="17.45" customHeight="1" x14ac:dyDescent="0.25">
      <c r="B92" s="30" t="s">
        <v>36</v>
      </c>
      <c r="C92" s="77"/>
      <c r="D92" s="160"/>
      <c r="E92" s="160"/>
      <c r="F92" s="161"/>
      <c r="H92" s="30" t="s">
        <v>36</v>
      </c>
      <c r="I92" s="77"/>
      <c r="J92" s="160"/>
      <c r="K92" s="160"/>
      <c r="L92" s="161"/>
    </row>
    <row r="93" spans="2:12" s="29" customFormat="1" ht="17.45" customHeight="1" x14ac:dyDescent="0.25">
      <c r="B93" s="30" t="s">
        <v>26</v>
      </c>
      <c r="C93" s="78" t="str">
        <f>IFERROR((C91-C90)/C91,"FIELD WILL AUTO CALC")</f>
        <v>FIELD WILL AUTO CALC</v>
      </c>
      <c r="D93" s="160"/>
      <c r="E93" s="160"/>
      <c r="F93" s="161"/>
      <c r="H93" s="30" t="s">
        <v>26</v>
      </c>
      <c r="I93" s="78" t="str">
        <f>IFERROR((I91-I90)/I91,"FIELD WILL AUTO CALC")</f>
        <v>FIELD WILL AUTO CALC</v>
      </c>
      <c r="J93" s="160"/>
      <c r="K93" s="160"/>
      <c r="L93" s="161"/>
    </row>
    <row r="94" spans="2:12" s="29" customFormat="1" ht="17.45" customHeight="1" thickBot="1" x14ac:dyDescent="0.3">
      <c r="B94" s="42" t="s">
        <v>38</v>
      </c>
      <c r="C94" s="34" t="str">
        <f>IFERROR((C91-((C92*C90)+C90))/C91, "FIELD WILL AUTO CALC")</f>
        <v>FIELD WILL AUTO CALC</v>
      </c>
      <c r="D94" s="162"/>
      <c r="E94" s="162"/>
      <c r="F94" s="163"/>
      <c r="H94" s="42" t="s">
        <v>38</v>
      </c>
      <c r="I94" s="34" t="str">
        <f>IFERROR((I91-((I92*I90)+I90))/I91, "FIELD WILL AUTO CALC")</f>
        <v>FIELD WILL AUTO CALC</v>
      </c>
      <c r="J94" s="162"/>
      <c r="K94" s="162"/>
      <c r="L94" s="163"/>
    </row>
    <row r="95" spans="2:12" s="36" customFormat="1" ht="17.45" customHeight="1" thickBot="1" x14ac:dyDescent="0.3">
      <c r="B95" s="76" t="s">
        <v>39</v>
      </c>
      <c r="C95" s="104" t="s">
        <v>40</v>
      </c>
      <c r="D95" s="141"/>
      <c r="E95" s="164"/>
      <c r="F95" s="40" t="s">
        <v>41</v>
      </c>
      <c r="H95" s="76" t="s">
        <v>39</v>
      </c>
      <c r="I95" s="104" t="s">
        <v>40</v>
      </c>
      <c r="J95" s="141"/>
      <c r="K95" s="164"/>
      <c r="L95" s="40" t="s">
        <v>41</v>
      </c>
    </row>
    <row r="96" spans="2:12" s="36" customFormat="1" ht="17.45" customHeight="1" x14ac:dyDescent="0.25">
      <c r="B96" s="153" t="s">
        <v>46</v>
      </c>
      <c r="C96" s="165"/>
      <c r="D96" s="166"/>
      <c r="E96" s="166"/>
      <c r="F96" s="171">
        <f>C85</f>
        <v>0</v>
      </c>
      <c r="H96" s="153" t="s">
        <v>46</v>
      </c>
      <c r="I96" s="165"/>
      <c r="J96" s="166"/>
      <c r="K96" s="166"/>
      <c r="L96" s="171">
        <f>I85</f>
        <v>0</v>
      </c>
    </row>
    <row r="97" spans="2:12" s="36" customFormat="1" ht="17.45" customHeight="1" x14ac:dyDescent="0.25">
      <c r="B97" s="154"/>
      <c r="C97" s="167"/>
      <c r="D97" s="168"/>
      <c r="E97" s="168"/>
      <c r="F97" s="172"/>
      <c r="H97" s="154"/>
      <c r="I97" s="167"/>
      <c r="J97" s="168"/>
      <c r="K97" s="168"/>
      <c r="L97" s="172"/>
    </row>
    <row r="98" spans="2:12" s="36" customFormat="1" ht="17.45" customHeight="1" x14ac:dyDescent="0.25">
      <c r="B98" s="154"/>
      <c r="C98" s="167"/>
      <c r="D98" s="168"/>
      <c r="E98" s="168"/>
      <c r="F98" s="172"/>
      <c r="H98" s="154"/>
      <c r="I98" s="167"/>
      <c r="J98" s="168"/>
      <c r="K98" s="168"/>
      <c r="L98" s="172"/>
    </row>
    <row r="99" spans="2:12" s="29" customFormat="1" ht="17.45" customHeight="1" x14ac:dyDescent="0.25">
      <c r="B99" s="154"/>
      <c r="C99" s="167"/>
      <c r="D99" s="168"/>
      <c r="E99" s="168"/>
      <c r="F99" s="172"/>
      <c r="H99" s="154"/>
      <c r="I99" s="167"/>
      <c r="J99" s="168"/>
      <c r="K99" s="168"/>
      <c r="L99" s="172"/>
    </row>
    <row r="100" spans="2:12" s="29" customFormat="1" ht="17.45" customHeight="1" thickBot="1" x14ac:dyDescent="0.3">
      <c r="B100" s="155"/>
      <c r="C100" s="169"/>
      <c r="D100" s="170"/>
      <c r="E100" s="170"/>
      <c r="F100" s="173"/>
      <c r="H100" s="155"/>
      <c r="I100" s="169"/>
      <c r="J100" s="170"/>
      <c r="K100" s="170"/>
      <c r="L100" s="173"/>
    </row>
  </sheetData>
  <sheetProtection selectLockedCells="1"/>
  <mergeCells count="160">
    <mergeCell ref="I21:K25"/>
    <mergeCell ref="L21:L25"/>
    <mergeCell ref="I86:L86"/>
    <mergeCell ref="H88:I88"/>
    <mergeCell ref="J88:L88"/>
    <mergeCell ref="J89:L94"/>
    <mergeCell ref="H96:H100"/>
    <mergeCell ref="I95:K95"/>
    <mergeCell ref="I96:K100"/>
    <mergeCell ref="L96:L100"/>
    <mergeCell ref="H81:L81"/>
    <mergeCell ref="H28:L28"/>
    <mergeCell ref="C86:F86"/>
    <mergeCell ref="B88:C88"/>
    <mergeCell ref="D88:F88"/>
    <mergeCell ref="D89:F94"/>
    <mergeCell ref="B96:B100"/>
    <mergeCell ref="C95:E95"/>
    <mergeCell ref="C96:E100"/>
    <mergeCell ref="F96:F100"/>
    <mergeCell ref="B81:F81"/>
    <mergeCell ref="I11:L11"/>
    <mergeCell ref="C36:F36"/>
    <mergeCell ref="B38:C38"/>
    <mergeCell ref="D38:F38"/>
    <mergeCell ref="I36:L36"/>
    <mergeCell ref="H38:I38"/>
    <mergeCell ref="J38:L38"/>
    <mergeCell ref="B77:F77"/>
    <mergeCell ref="H77:L77"/>
    <mergeCell ref="H21:H25"/>
    <mergeCell ref="H29:H30"/>
    <mergeCell ref="I29:J30"/>
    <mergeCell ref="C29:D30"/>
    <mergeCell ref="I54:J55"/>
    <mergeCell ref="C54:D55"/>
    <mergeCell ref="L54:L55"/>
    <mergeCell ref="B54:B55"/>
    <mergeCell ref="H54:H55"/>
    <mergeCell ref="J32:K32"/>
    <mergeCell ref="J34:K34"/>
    <mergeCell ref="J33:K33"/>
    <mergeCell ref="J35:K35"/>
    <mergeCell ref="D33:E33"/>
    <mergeCell ref="I20:K20"/>
    <mergeCell ref="B78:F78"/>
    <mergeCell ref="H78:L78"/>
    <mergeCell ref="B79:B80"/>
    <mergeCell ref="B71:B75"/>
    <mergeCell ref="I61:L61"/>
    <mergeCell ref="H63:I63"/>
    <mergeCell ref="J63:L63"/>
    <mergeCell ref="J64:L69"/>
    <mergeCell ref="H71:H75"/>
    <mergeCell ref="C70:E70"/>
    <mergeCell ref="C71:E75"/>
    <mergeCell ref="F71:F75"/>
    <mergeCell ref="K79:K80"/>
    <mergeCell ref="L79:L80"/>
    <mergeCell ref="H79:H80"/>
    <mergeCell ref="E79:E80"/>
    <mergeCell ref="F79:F80"/>
    <mergeCell ref="I79:J80"/>
    <mergeCell ref="C79:D80"/>
    <mergeCell ref="H6:L6"/>
    <mergeCell ref="B31:F31"/>
    <mergeCell ref="H31:L31"/>
    <mergeCell ref="B56:F56"/>
    <mergeCell ref="H56:L56"/>
    <mergeCell ref="I70:K70"/>
    <mergeCell ref="I71:K75"/>
    <mergeCell ref="L71:L75"/>
    <mergeCell ref="C61:F61"/>
    <mergeCell ref="B63:C63"/>
    <mergeCell ref="D63:F63"/>
    <mergeCell ref="D64:F69"/>
    <mergeCell ref="F21:F25"/>
    <mergeCell ref="C20:E20"/>
    <mergeCell ref="C21:E25"/>
    <mergeCell ref="B27:F27"/>
    <mergeCell ref="E29:E30"/>
    <mergeCell ref="F29:F30"/>
    <mergeCell ref="K29:K30"/>
    <mergeCell ref="L29:L30"/>
    <mergeCell ref="B29:B30"/>
    <mergeCell ref="F54:F55"/>
    <mergeCell ref="K54:K55"/>
    <mergeCell ref="C11:F11"/>
    <mergeCell ref="D35:E35"/>
    <mergeCell ref="J85:K85"/>
    <mergeCell ref="D83:E83"/>
    <mergeCell ref="D84:E84"/>
    <mergeCell ref="D85:E85"/>
    <mergeCell ref="D82:E82"/>
    <mergeCell ref="D9:E9"/>
    <mergeCell ref="D57:E57"/>
    <mergeCell ref="D60:E60"/>
    <mergeCell ref="D58:E58"/>
    <mergeCell ref="D59:E59"/>
    <mergeCell ref="J57:K57"/>
    <mergeCell ref="J60:K60"/>
    <mergeCell ref="J58:K58"/>
    <mergeCell ref="J59:K59"/>
    <mergeCell ref="B52:F52"/>
    <mergeCell ref="H52:L52"/>
    <mergeCell ref="B53:F53"/>
    <mergeCell ref="H53:L53"/>
    <mergeCell ref="E54:E55"/>
    <mergeCell ref="D32:E32"/>
    <mergeCell ref="D34:E34"/>
    <mergeCell ref="H27:L27"/>
    <mergeCell ref="B28:F28"/>
    <mergeCell ref="B2:F2"/>
    <mergeCell ref="H2:L2"/>
    <mergeCell ref="B3:F3"/>
    <mergeCell ref="H3:L3"/>
    <mergeCell ref="B4:B5"/>
    <mergeCell ref="H4:H5"/>
    <mergeCell ref="J13:L13"/>
    <mergeCell ref="J7:K7"/>
    <mergeCell ref="J9:K9"/>
    <mergeCell ref="J8:K8"/>
    <mergeCell ref="J10:K10"/>
    <mergeCell ref="K4:K5"/>
    <mergeCell ref="L4:L5"/>
    <mergeCell ref="D7:E7"/>
    <mergeCell ref="D8:E8"/>
    <mergeCell ref="D10:E10"/>
    <mergeCell ref="C4:D5"/>
    <mergeCell ref="I4:J5"/>
    <mergeCell ref="B13:C13"/>
    <mergeCell ref="D13:F13"/>
    <mergeCell ref="H13:I13"/>
    <mergeCell ref="F4:F5"/>
    <mergeCell ref="E4:E5"/>
    <mergeCell ref="B6:F6"/>
    <mergeCell ref="B21:B25"/>
    <mergeCell ref="C12:F12"/>
    <mergeCell ref="I12:L12"/>
    <mergeCell ref="C37:F37"/>
    <mergeCell ref="I37:L37"/>
    <mergeCell ref="C62:F62"/>
    <mergeCell ref="I62:L62"/>
    <mergeCell ref="C87:F87"/>
    <mergeCell ref="I87:L87"/>
    <mergeCell ref="D14:F19"/>
    <mergeCell ref="J14:L19"/>
    <mergeCell ref="D39:F44"/>
    <mergeCell ref="C45:E45"/>
    <mergeCell ref="B46:B50"/>
    <mergeCell ref="C46:E50"/>
    <mergeCell ref="F46:F50"/>
    <mergeCell ref="J39:L44"/>
    <mergeCell ref="I45:K45"/>
    <mergeCell ref="H46:H50"/>
    <mergeCell ref="I46:K50"/>
    <mergeCell ref="L46:L50"/>
    <mergeCell ref="J82:K82"/>
    <mergeCell ref="J83:K83"/>
    <mergeCell ref="J84:K84"/>
  </mergeCells>
  <conditionalFormatting sqref="B2:F2">
    <cfRule type="cellIs" dxfId="400" priority="2844" operator="equal">
      <formula>"Always First"</formula>
    </cfRule>
    <cfRule type="cellIs" dxfId="385" priority="2821" operator="equal">
      <formula>"Zak Designs"</formula>
    </cfRule>
    <cfRule type="cellIs" dxfId="379" priority="2845" operator="equal">
      <formula>"All Courtesy"</formula>
    </cfRule>
    <cfRule type="cellIs" dxfId="378" priority="2822" operator="equal">
      <formula>"Pan Asian"</formula>
    </cfRule>
    <cfRule type="cellIs" dxfId="377" priority="2843" operator="equal">
      <formula>"Marque Impex"</formula>
    </cfRule>
    <cfRule type="cellIs" dxfId="376" priority="2842" operator="equal">
      <formula>"Radiaant"</formula>
    </cfRule>
    <cfRule type="cellIs" dxfId="375" priority="2841" operator="equal">
      <formula>"Creative Design"</formula>
    </cfRule>
    <cfRule type="cellIs" dxfId="374" priority="2840" operator="equal">
      <formula>"Crescent"</formula>
    </cfRule>
    <cfRule type="cellIs" dxfId="373" priority="2839" operator="equal">
      <formula>"Designco"</formula>
    </cfRule>
    <cfRule type="cellIs" dxfId="372" priority="2838" operator="equal">
      <formula>"Grupo Ruz"</formula>
    </cfRule>
    <cfRule type="cellIs" dxfId="371" priority="2837" operator="equal">
      <formula>"IG Design Group"</formula>
    </cfRule>
    <cfRule type="cellIs" dxfId="370" priority="2836" operator="equal">
      <formula>"Pacific Global"</formula>
    </cfRule>
    <cfRule type="cellIs" dxfId="369" priority="2835" operator="equal">
      <formula>"Rauch"</formula>
    </cfRule>
    <cfRule type="cellIs" dxfId="368" priority="2834" operator="equal">
      <formula>"Seasonal Specialties"</formula>
    </cfRule>
    <cfRule type="cellIs" dxfId="367" priority="2833" operator="equal">
      <formula>"Shanghai Shengda"</formula>
    </cfRule>
    <cfRule type="cellIs" dxfId="366" priority="2832" operator="equal">
      <formula>"Sun Flower"</formula>
    </cfRule>
    <cfRule type="cellIs" dxfId="365" priority="2831" operator="equal">
      <formula>"Team Win"</formula>
    </cfRule>
    <cfRule type="cellIs" dxfId="364" priority="2830" operator="equal">
      <formula>"Tom's Toys"</formula>
    </cfRule>
    <cfRule type="cellIs" dxfId="363" priority="2829" operator="equal">
      <formula>"Hallmark Marketing"</formula>
    </cfRule>
    <cfRule type="cellIs" dxfId="362" priority="2828" operator="equal">
      <formula>"Kurt S. Adler"</formula>
    </cfRule>
    <cfRule type="cellIs" dxfId="361" priority="2827" operator="equal">
      <formula>"Lucky Star"</formula>
    </cfRule>
    <cfRule type="cellIs" dxfId="360" priority="2826" operator="equal">
      <formula>"Seasonal Celebrations"</formula>
    </cfRule>
    <cfRule type="cellIs" dxfId="359" priority="2825" operator="equal">
      <formula>"Gemmy Industries"</formula>
    </cfRule>
    <cfRule type="cellIs" dxfId="358" priority="2824" operator="equal">
      <formula>"Horizon Group"</formula>
    </cfRule>
    <cfRule type="cellIs" dxfId="357" priority="2823" operator="equal">
      <formula>"Illume"</formula>
    </cfRule>
  </conditionalFormatting>
  <conditionalFormatting sqref="B27:F27">
    <cfRule type="cellIs" dxfId="350" priority="271" operator="equal">
      <formula>"Zak Designs"</formula>
    </cfRule>
    <cfRule type="cellIs" dxfId="349" priority="272" operator="equal">
      <formula>"Pan Asian"</formula>
    </cfRule>
    <cfRule type="cellIs" dxfId="348" priority="274" operator="equal">
      <formula>"Horizon Group"</formula>
    </cfRule>
    <cfRule type="cellIs" dxfId="347" priority="275" operator="equal">
      <formula>"Gemmy Industries"</formula>
    </cfRule>
    <cfRule type="cellIs" dxfId="346" priority="276" operator="equal">
      <formula>"Seasonal Celebrations"</formula>
    </cfRule>
    <cfRule type="cellIs" dxfId="345" priority="277" operator="equal">
      <formula>"Lucky Star"</formula>
    </cfRule>
    <cfRule type="cellIs" dxfId="344" priority="278" operator="equal">
      <formula>"Kurt S. Adler"</formula>
    </cfRule>
    <cfRule type="cellIs" dxfId="343" priority="279" operator="equal">
      <formula>"Hallmark Marketing"</formula>
    </cfRule>
    <cfRule type="cellIs" dxfId="342" priority="280" operator="equal">
      <formula>"Tom's Toys"</formula>
    </cfRule>
    <cfRule type="cellIs" dxfId="341" priority="281" operator="equal">
      <formula>"Team Win"</formula>
    </cfRule>
    <cfRule type="cellIs" dxfId="340" priority="282" operator="equal">
      <formula>"Sun Flower"</formula>
    </cfRule>
    <cfRule type="cellIs" dxfId="339" priority="283" operator="equal">
      <formula>"Shanghai Shengda"</formula>
    </cfRule>
    <cfRule type="cellIs" dxfId="338" priority="284" operator="equal">
      <formula>"Seasonal Specialties"</formula>
    </cfRule>
    <cfRule type="cellIs" dxfId="337" priority="285" operator="equal">
      <formula>"Rauch"</formula>
    </cfRule>
    <cfRule type="cellIs" dxfId="336" priority="286" operator="equal">
      <formula>"Pacific Global"</formula>
    </cfRule>
    <cfRule type="cellIs" dxfId="335" priority="287" operator="equal">
      <formula>"IG Design Group"</formula>
    </cfRule>
    <cfRule type="cellIs" dxfId="334" priority="288" operator="equal">
      <formula>"Grupo Ruz"</formula>
    </cfRule>
    <cfRule type="cellIs" dxfId="333" priority="289" operator="equal">
      <formula>"Designco"</formula>
    </cfRule>
    <cfRule type="cellIs" dxfId="332" priority="294" operator="equal">
      <formula>"Always First"</formula>
    </cfRule>
    <cfRule type="cellIs" dxfId="331" priority="290" operator="equal">
      <formula>"Crescent"</formula>
    </cfRule>
    <cfRule type="cellIs" dxfId="330" priority="291" operator="equal">
      <formula>"Creative Design"</formula>
    </cfRule>
    <cfRule type="cellIs" dxfId="329" priority="292" operator="equal">
      <formula>"Radiaant"</formula>
    </cfRule>
    <cfRule type="cellIs" dxfId="328" priority="293" operator="equal">
      <formula>"Marque Impex"</formula>
    </cfRule>
    <cfRule type="cellIs" dxfId="327" priority="295" operator="equal">
      <formula>"All Courtesy"</formula>
    </cfRule>
    <cfRule type="cellIs" dxfId="326" priority="273" operator="equal">
      <formula>"Illume"</formula>
    </cfRule>
  </conditionalFormatting>
  <conditionalFormatting sqref="B52:F52">
    <cfRule type="cellIs" dxfId="309" priority="182" operator="equal">
      <formula>"Sun Flower"</formula>
    </cfRule>
    <cfRule type="cellIs" dxfId="308" priority="183" operator="equal">
      <formula>"Shanghai Shengda"</formula>
    </cfRule>
    <cfRule type="cellIs" dxfId="307" priority="184" operator="equal">
      <formula>"Seasonal Specialties"</formula>
    </cfRule>
    <cfRule type="cellIs" dxfId="306" priority="185" operator="equal">
      <formula>"Rauch"</formula>
    </cfRule>
    <cfRule type="cellIs" dxfId="305" priority="186" operator="equal">
      <formula>"Pacific Global"</formula>
    </cfRule>
    <cfRule type="cellIs" dxfId="304" priority="187" operator="equal">
      <formula>"IG Design Group"</formula>
    </cfRule>
    <cfRule type="cellIs" dxfId="303" priority="188" operator="equal">
      <formula>"Grupo Ruz"</formula>
    </cfRule>
    <cfRule type="cellIs" dxfId="302" priority="189" operator="equal">
      <formula>"Designco"</formula>
    </cfRule>
    <cfRule type="cellIs" dxfId="301" priority="190" operator="equal">
      <formula>"Crescent"</formula>
    </cfRule>
    <cfRule type="cellIs" dxfId="300" priority="191" operator="equal">
      <formula>"Creative Design"</formula>
    </cfRule>
    <cfRule type="cellIs" dxfId="299" priority="192" operator="equal">
      <formula>"Radiaant"</formula>
    </cfRule>
    <cfRule type="cellIs" dxfId="298" priority="193" operator="equal">
      <formula>"Marque Impex"</formula>
    </cfRule>
    <cfRule type="cellIs" dxfId="297" priority="194" operator="equal">
      <formula>"Always First"</formula>
    </cfRule>
    <cfRule type="cellIs" dxfId="296" priority="195" operator="equal">
      <formula>"All Courtesy"</formula>
    </cfRule>
    <cfRule type="cellIs" dxfId="276" priority="171" operator="equal">
      <formula>"Zak Designs"</formula>
    </cfRule>
    <cfRule type="cellIs" dxfId="275" priority="172" operator="equal">
      <formula>"Pan Asian"</formula>
    </cfRule>
    <cfRule type="cellIs" dxfId="274" priority="173" operator="equal">
      <formula>"Illume"</formula>
    </cfRule>
    <cfRule type="cellIs" dxfId="273" priority="174" operator="equal">
      <formula>"Horizon Group"</formula>
    </cfRule>
    <cfRule type="cellIs" dxfId="272" priority="175" operator="equal">
      <formula>"Gemmy Industries"</formula>
    </cfRule>
    <cfRule type="cellIs" dxfId="271" priority="176" operator="equal">
      <formula>"Seasonal Celebrations"</formula>
    </cfRule>
    <cfRule type="cellIs" dxfId="270" priority="177" operator="equal">
      <formula>"Lucky Star"</formula>
    </cfRule>
    <cfRule type="cellIs" dxfId="269" priority="178" operator="equal">
      <formula>"Kurt S. Adler"</formula>
    </cfRule>
    <cfRule type="cellIs" dxfId="268" priority="179" operator="equal">
      <formula>"Hallmark Marketing"</formula>
    </cfRule>
    <cfRule type="cellIs" dxfId="267" priority="180" operator="equal">
      <formula>"Tom's Toys"</formula>
    </cfRule>
    <cfRule type="cellIs" dxfId="266" priority="181" operator="equal">
      <formula>"Team Win"</formula>
    </cfRule>
  </conditionalFormatting>
  <conditionalFormatting sqref="B77:F77">
    <cfRule type="cellIs" dxfId="265" priority="90" operator="equal">
      <formula>"Crescent"</formula>
    </cfRule>
    <cfRule type="cellIs" dxfId="264" priority="92" operator="equal">
      <formula>"Radiaant"</formula>
    </cfRule>
    <cfRule type="cellIs" dxfId="263" priority="93" operator="equal">
      <formula>"Marque Impex"</formula>
    </cfRule>
    <cfRule type="cellIs" dxfId="262" priority="94" operator="equal">
      <formula>"Always First"</formula>
    </cfRule>
    <cfRule type="cellIs" dxfId="261" priority="95" operator="equal">
      <formula>"All Courtesy"</formula>
    </cfRule>
    <cfRule type="cellIs" dxfId="260" priority="85" operator="equal">
      <formula>"Rauch"</formula>
    </cfRule>
    <cfRule type="cellIs" dxfId="259" priority="89" operator="equal">
      <formula>"Designco"</formula>
    </cfRule>
    <cfRule type="cellIs" dxfId="258" priority="88" operator="equal">
      <formula>"Grupo Ruz"</formula>
    </cfRule>
    <cfRule type="cellIs" dxfId="257" priority="87" operator="equal">
      <formula>"IG Design Group"</formula>
    </cfRule>
    <cfRule type="cellIs" dxfId="256" priority="86" operator="equal">
      <formula>"Pacific Global"</formula>
    </cfRule>
    <cfRule type="cellIs" dxfId="254" priority="84" operator="equal">
      <formula>"Seasonal Specialties"</formula>
    </cfRule>
    <cfRule type="cellIs" dxfId="253" priority="83" operator="equal">
      <formula>"Shanghai Shengda"</formula>
    </cfRule>
    <cfRule type="cellIs" dxfId="252" priority="82" operator="equal">
      <formula>"Sun Flower"</formula>
    </cfRule>
    <cfRule type="cellIs" dxfId="251" priority="81" operator="equal">
      <formula>"Team Win"</formula>
    </cfRule>
    <cfRule type="cellIs" dxfId="250" priority="80" operator="equal">
      <formula>"Tom's Toys"</formula>
    </cfRule>
    <cfRule type="cellIs" dxfId="249" priority="79" operator="equal">
      <formula>"Hallmark Marketing"</formula>
    </cfRule>
    <cfRule type="cellIs" dxfId="248" priority="78" operator="equal">
      <formula>"Kurt S. Adler"</formula>
    </cfRule>
    <cfRule type="cellIs" dxfId="247" priority="77" operator="equal">
      <formula>"Lucky Star"</formula>
    </cfRule>
    <cfRule type="cellIs" dxfId="246" priority="76" operator="equal">
      <formula>"Seasonal Celebrations"</formula>
    </cfRule>
    <cfRule type="cellIs" dxfId="245" priority="75" operator="equal">
      <formula>"Gemmy Industries"</formula>
    </cfRule>
    <cfRule type="cellIs" dxfId="244" priority="74" operator="equal">
      <formula>"Horizon Group"</formula>
    </cfRule>
    <cfRule type="cellIs" dxfId="243" priority="91" operator="equal">
      <formula>"Creative Design"</formula>
    </cfRule>
    <cfRule type="cellIs" dxfId="241" priority="73" operator="equal">
      <formula>"Illume"</formula>
    </cfRule>
    <cfRule type="cellIs" dxfId="240" priority="72" operator="equal">
      <formula>"Pan Asian"</formula>
    </cfRule>
    <cfRule type="cellIs" dxfId="239" priority="71" operator="equal">
      <formula>"Zak Designs"</formula>
    </cfRule>
  </conditionalFormatting>
  <conditionalFormatting sqref="C4 F4">
    <cfRule type="containsBlanks" dxfId="220" priority="2850">
      <formula>LEN(TRIM(C4))=0</formula>
    </cfRule>
  </conditionalFormatting>
  <conditionalFormatting sqref="C7:C10 F7:F10 I7:I10 L7:L10 C32:C35 F32:F35 I32:I35 L32:L35 C57:C60 F57:F60 I57:I60 L57:L60 C82:C85 F82:F85 I82:I85 L82:L85">
    <cfRule type="cellIs" dxfId="219" priority="4389" operator="equal">
      <formula>""</formula>
    </cfRule>
  </conditionalFormatting>
  <conditionalFormatting sqref="C11:C12 C18:C19">
    <cfRule type="cellIs" dxfId="215" priority="2846" operator="equal">
      <formula>"FIELD WILL AUTO CALC"</formula>
    </cfRule>
  </conditionalFormatting>
  <conditionalFormatting sqref="C29 F29">
    <cfRule type="containsBlanks" dxfId="214" priority="300">
      <formula>LEN(TRIM(C29))=0</formula>
    </cfRule>
  </conditionalFormatting>
  <conditionalFormatting sqref="C36:C37 C43:C44">
    <cfRule type="cellIs" dxfId="213" priority="296" operator="equal">
      <formula>"FIELD WILL AUTO CALC"</formula>
    </cfRule>
  </conditionalFormatting>
  <conditionalFormatting sqref="C54 F54">
    <cfRule type="containsBlanks" dxfId="209" priority="200">
      <formula>LEN(TRIM(C54))=0</formula>
    </cfRule>
  </conditionalFormatting>
  <conditionalFormatting sqref="C61:C62 C68:C69">
    <cfRule type="cellIs" dxfId="208" priority="196" operator="equal">
      <formula>"FIELD WILL AUTO CALC"</formula>
    </cfRule>
  </conditionalFormatting>
  <conditionalFormatting sqref="C79 F79">
    <cfRule type="containsBlanks" dxfId="204" priority="100">
      <formula>LEN(TRIM(C79))=0</formula>
    </cfRule>
  </conditionalFormatting>
  <conditionalFormatting sqref="C86:C87 C93:C94">
    <cfRule type="cellIs" dxfId="200" priority="96" operator="equal">
      <formula>"FIELD WILL AUTO CALC"</formula>
    </cfRule>
  </conditionalFormatting>
  <conditionalFormatting sqref="H2:L2">
    <cfRule type="cellIs" dxfId="198" priority="326" operator="equal">
      <formula>"Seasonal Celebrations"</formula>
    </cfRule>
    <cfRule type="cellIs" dxfId="197" priority="325" operator="equal">
      <formula>"Gemmy Industries"</formula>
    </cfRule>
    <cfRule type="cellIs" dxfId="196" priority="324" operator="equal">
      <formula>"Horizon Group"</formula>
    </cfRule>
    <cfRule type="cellIs" dxfId="195" priority="323" operator="equal">
      <formula>"Illume"</formula>
    </cfRule>
    <cfRule type="cellIs" dxfId="194" priority="322" operator="equal">
      <formula>"Pan Asian"</formula>
    </cfRule>
    <cfRule type="cellIs" dxfId="193" priority="321" operator="equal">
      <formula>"Zak Designs"</formula>
    </cfRule>
    <cfRule type="cellIs" dxfId="180" priority="332" operator="equal">
      <formula>"Sun Flower"</formula>
    </cfRule>
    <cfRule type="cellIs" dxfId="179" priority="333" operator="equal">
      <formula>"Shanghai Shengda"</formula>
    </cfRule>
    <cfRule type="cellIs" dxfId="178" priority="334" operator="equal">
      <formula>"Seasonal Specialties"</formula>
    </cfRule>
    <cfRule type="cellIs" dxfId="177" priority="335" operator="equal">
      <formula>"Rauch"</formula>
    </cfRule>
    <cfRule type="cellIs" dxfId="176" priority="336" operator="equal">
      <formula>"Pacific Global"</formula>
    </cfRule>
    <cfRule type="cellIs" dxfId="175" priority="337" operator="equal">
      <formula>"IG Design Group"</formula>
    </cfRule>
    <cfRule type="cellIs" dxfId="174" priority="338" operator="equal">
      <formula>"Grupo Ruz"</formula>
    </cfRule>
    <cfRule type="cellIs" dxfId="173" priority="339" operator="equal">
      <formula>"Designco"</formula>
    </cfRule>
    <cfRule type="cellIs" dxfId="172" priority="340" operator="equal">
      <formula>"Crescent"</formula>
    </cfRule>
    <cfRule type="cellIs" dxfId="171" priority="341" operator="equal">
      <formula>"Creative Design"</formula>
    </cfRule>
    <cfRule type="cellIs" dxfId="170" priority="343" operator="equal">
      <formula>"Marque Impex"</formula>
    </cfRule>
    <cfRule type="cellIs" dxfId="169" priority="344" operator="equal">
      <formula>"Always First"</formula>
    </cfRule>
    <cfRule type="cellIs" dxfId="168" priority="345" operator="equal">
      <formula>"All Courtesy"</formula>
    </cfRule>
    <cfRule type="cellIs" dxfId="166" priority="342" operator="equal">
      <formula>"Radiaant"</formula>
    </cfRule>
    <cfRule type="cellIs" dxfId="164" priority="329" operator="equal">
      <formula>"Hallmark Marketing"</formula>
    </cfRule>
    <cfRule type="cellIs" dxfId="158" priority="327" operator="equal">
      <formula>"Lucky Star"</formula>
    </cfRule>
    <cfRule type="cellIs" dxfId="157" priority="328" operator="equal">
      <formula>"Kurt S. Adler"</formula>
    </cfRule>
    <cfRule type="cellIs" dxfId="156" priority="330" operator="equal">
      <formula>"Tom's Toys"</formula>
    </cfRule>
    <cfRule type="cellIs" dxfId="155" priority="331" operator="equal">
      <formula>"Team Win"</formula>
    </cfRule>
  </conditionalFormatting>
  <conditionalFormatting sqref="H27:L27">
    <cfRule type="cellIs" dxfId="146" priority="237" operator="equal">
      <formula>"IG Design Group"</formula>
    </cfRule>
    <cfRule type="cellIs" dxfId="139" priority="242" operator="equal">
      <formula>"Radiaant"</formula>
    </cfRule>
    <cfRule type="cellIs" dxfId="138" priority="243" operator="equal">
      <formula>"Marque Impex"</formula>
    </cfRule>
    <cfRule type="cellIs" dxfId="137" priority="244" operator="equal">
      <formula>"Always First"</formula>
    </cfRule>
    <cfRule type="cellIs" dxfId="136" priority="226" operator="equal">
      <formula>"Seasonal Celebrations"</formula>
    </cfRule>
    <cfRule type="cellIs" dxfId="135" priority="245" operator="equal">
      <formula>"All Courtesy"</formula>
    </cfRule>
    <cfRule type="cellIs" dxfId="134" priority="238" operator="equal">
      <formula>"Grupo Ruz"</formula>
    </cfRule>
    <cfRule type="cellIs" dxfId="133" priority="239" operator="equal">
      <formula>"Designco"</formula>
    </cfRule>
    <cfRule type="cellIs" dxfId="132" priority="240" operator="equal">
      <formula>"Crescent"</formula>
    </cfRule>
    <cfRule type="cellIs" dxfId="131" priority="241" operator="equal">
      <formula>"Creative Design"</formula>
    </cfRule>
    <cfRule type="cellIs" dxfId="130" priority="224" operator="equal">
      <formula>"Horizon Group"</formula>
    </cfRule>
    <cfRule type="cellIs" dxfId="128" priority="236" operator="equal">
      <formula>"Pacific Global"</formula>
    </cfRule>
    <cfRule type="cellIs" dxfId="127" priority="235" operator="equal">
      <formula>"Rauch"</formula>
    </cfRule>
    <cfRule type="cellIs" dxfId="126" priority="234" operator="equal">
      <formula>"Seasonal Specialties"</formula>
    </cfRule>
    <cfRule type="cellIs" dxfId="125" priority="233" operator="equal">
      <formula>"Shanghai Shengda"</formula>
    </cfRule>
    <cfRule type="cellIs" dxfId="124" priority="232" operator="equal">
      <formula>"Sun Flower"</formula>
    </cfRule>
    <cfRule type="cellIs" dxfId="122" priority="231" operator="equal">
      <formula>"Team Win"</formula>
    </cfRule>
    <cfRule type="cellIs" dxfId="121" priority="230" operator="equal">
      <formula>"Tom's Toys"</formula>
    </cfRule>
    <cfRule type="cellIs" dxfId="120" priority="229" operator="equal">
      <formula>"Hallmark Marketing"</formula>
    </cfRule>
    <cfRule type="cellIs" dxfId="119" priority="228" operator="equal">
      <formula>"Kurt S. Adler"</formula>
    </cfRule>
    <cfRule type="cellIs" dxfId="118" priority="225" operator="equal">
      <formula>"Gemmy Industries"</formula>
    </cfRule>
    <cfRule type="cellIs" dxfId="117" priority="223" operator="equal">
      <formula>"Illume"</formula>
    </cfRule>
    <cfRule type="cellIs" dxfId="116" priority="222" operator="equal">
      <formula>"Pan Asian"</formula>
    </cfRule>
    <cfRule type="cellIs" dxfId="115" priority="221" operator="equal">
      <formula>"Zak Designs"</formula>
    </cfRule>
    <cfRule type="cellIs" dxfId="110" priority="227" operator="equal">
      <formula>"Lucky Star"</formula>
    </cfRule>
  </conditionalFormatting>
  <conditionalFormatting sqref="H52:L52">
    <cfRule type="cellIs" dxfId="109" priority="142" operator="equal">
      <formula>"Radiaant"</formula>
    </cfRule>
    <cfRule type="cellIs" dxfId="103" priority="145" operator="equal">
      <formula>"All Courtesy"</formula>
    </cfRule>
    <cfRule type="cellIs" dxfId="102" priority="144" operator="equal">
      <formula>"Always First"</formula>
    </cfRule>
    <cfRule type="cellIs" dxfId="101" priority="143" operator="equal">
      <formula>"Marque Impex"</formula>
    </cfRule>
    <cfRule type="cellIs" dxfId="100" priority="141" operator="equal">
      <formula>"Creative Design"</formula>
    </cfRule>
    <cfRule type="cellIs" dxfId="99" priority="140" operator="equal">
      <formula>"Crescent"</formula>
    </cfRule>
    <cfRule type="cellIs" dxfId="98" priority="139" operator="equal">
      <formula>"Designco"</formula>
    </cfRule>
    <cfRule type="cellIs" dxfId="97" priority="138" operator="equal">
      <formula>"Grupo Ruz"</formula>
    </cfRule>
    <cfRule type="cellIs" dxfId="96" priority="137" operator="equal">
      <formula>"IG Design Group"</formula>
    </cfRule>
    <cfRule type="cellIs" dxfId="95" priority="136" operator="equal">
      <formula>"Pacific Global"</formula>
    </cfRule>
    <cfRule type="cellIs" dxfId="94" priority="135" operator="equal">
      <formula>"Rauch"</formula>
    </cfRule>
    <cfRule type="cellIs" dxfId="93" priority="134" operator="equal">
      <formula>"Seasonal Specialties"</formula>
    </cfRule>
    <cfRule type="cellIs" dxfId="92" priority="133" operator="equal">
      <formula>"Shanghai Shengda"</formula>
    </cfRule>
    <cfRule type="cellIs" dxfId="91" priority="132" operator="equal">
      <formula>"Sun Flower"</formula>
    </cfRule>
    <cfRule type="cellIs" dxfId="90" priority="131" operator="equal">
      <formula>"Team Win"</formula>
    </cfRule>
    <cfRule type="cellIs" dxfId="89" priority="130" operator="equal">
      <formula>"Tom's Toys"</formula>
    </cfRule>
    <cfRule type="cellIs" dxfId="88" priority="129" operator="equal">
      <formula>"Hallmark Marketing"</formula>
    </cfRule>
    <cfRule type="cellIs" dxfId="87" priority="128" operator="equal">
      <formula>"Kurt S. Adler"</formula>
    </cfRule>
    <cfRule type="cellIs" dxfId="86" priority="127" operator="equal">
      <formula>"Lucky Star"</formula>
    </cfRule>
    <cfRule type="cellIs" dxfId="85" priority="126" operator="equal">
      <formula>"Seasonal Celebrations"</formula>
    </cfRule>
    <cfRule type="cellIs" dxfId="84" priority="125" operator="equal">
      <formula>"Gemmy Industries"</formula>
    </cfRule>
    <cfRule type="cellIs" dxfId="73" priority="124" operator="equal">
      <formula>"Horizon Group"</formula>
    </cfRule>
    <cfRule type="cellIs" dxfId="72" priority="123" operator="equal">
      <formula>"Illume"</formula>
    </cfRule>
    <cfRule type="cellIs" dxfId="71" priority="122" operator="equal">
      <formula>"Pan Asian"</formula>
    </cfRule>
    <cfRule type="cellIs" dxfId="70" priority="121" operator="equal">
      <formula>"Zak Designs"</formula>
    </cfRule>
  </conditionalFormatting>
  <conditionalFormatting sqref="H77:L77">
    <cfRule type="cellIs" dxfId="55" priority="32" operator="equal">
      <formula>"Sun Flower"</formula>
    </cfRule>
    <cfRule type="cellIs" dxfId="53" priority="31" operator="equal">
      <formula>"Team Win"</formula>
    </cfRule>
    <cfRule type="cellIs" dxfId="52" priority="30" operator="equal">
      <formula>"Tom's Toys"</formula>
    </cfRule>
    <cfRule type="cellIs" dxfId="51" priority="29" operator="equal">
      <formula>"Hallmark Marketing"</formula>
    </cfRule>
    <cfRule type="cellIs" dxfId="49" priority="28" operator="equal">
      <formula>"Kurt S. Adler"</formula>
    </cfRule>
    <cfRule type="cellIs" dxfId="41" priority="27" operator="equal">
      <formula>"Lucky Star"</formula>
    </cfRule>
    <cfRule type="cellIs" dxfId="39" priority="26" operator="equal">
      <formula>"Seasonal Celebrations"</formula>
    </cfRule>
    <cfRule type="cellIs" dxfId="38" priority="25" operator="equal">
      <formula>"Gemmy Industries"</formula>
    </cfRule>
    <cfRule type="cellIs" dxfId="37" priority="24" operator="equal">
      <formula>"Horizon Group"</formula>
    </cfRule>
    <cfRule type="cellIs" dxfId="36" priority="23" operator="equal">
      <formula>"Illume"</formula>
    </cfRule>
    <cfRule type="cellIs" dxfId="35" priority="22" operator="equal">
      <formula>"Pan Asian"</formula>
    </cfRule>
    <cfRule type="cellIs" dxfId="33" priority="21" operator="equal">
      <formula>"Zak Designs"</formula>
    </cfRule>
    <cfRule type="cellIs" dxfId="32" priority="40" operator="equal">
      <formula>"Crescent"</formula>
    </cfRule>
    <cfRule type="cellIs" dxfId="31" priority="45" operator="equal">
      <formula>"All Courtesy"</formula>
    </cfRule>
    <cfRule type="cellIs" dxfId="30" priority="44" operator="equal">
      <formula>"Always First"</formula>
    </cfRule>
    <cfRule type="cellIs" dxfId="29" priority="43" operator="equal">
      <formula>"Marque Impex"</formula>
    </cfRule>
    <cfRule type="cellIs" dxfId="28" priority="42" operator="equal">
      <formula>"Radiaant"</formula>
    </cfRule>
    <cfRule type="cellIs" dxfId="27" priority="41" operator="equal">
      <formula>"Creative Design"</formula>
    </cfRule>
    <cfRule type="cellIs" dxfId="26" priority="39" operator="equal">
      <formula>"Designco"</formula>
    </cfRule>
    <cfRule type="cellIs" dxfId="25" priority="38" operator="equal">
      <formula>"Grupo Ruz"</formula>
    </cfRule>
    <cfRule type="cellIs" dxfId="24" priority="37" operator="equal">
      <formula>"IG Design Group"</formula>
    </cfRule>
    <cfRule type="cellIs" dxfId="23" priority="36" operator="equal">
      <formula>"Pacific Global"</formula>
    </cfRule>
    <cfRule type="cellIs" dxfId="22" priority="35" operator="equal">
      <formula>"Rauch"</formula>
    </cfRule>
    <cfRule type="cellIs" dxfId="21" priority="34" operator="equal">
      <formula>"Seasonal Specialties"</formula>
    </cfRule>
    <cfRule type="cellIs" dxfId="20" priority="33" operator="equal">
      <formula>"Shanghai Shengda"</formula>
    </cfRule>
  </conditionalFormatting>
  <conditionalFormatting sqref="I4 L4">
    <cfRule type="containsBlanks" dxfId="19" priority="350">
      <formula>LEN(TRIM(I4))=0</formula>
    </cfRule>
  </conditionalFormatting>
  <conditionalFormatting sqref="I11:I12 I18:I19">
    <cfRule type="cellIs" dxfId="18" priority="346" operator="equal">
      <formula>"FIELD WILL AUTO CALC"</formula>
    </cfRule>
  </conditionalFormatting>
  <conditionalFormatting sqref="I29 L29">
    <cfRule type="containsBlanks" dxfId="14" priority="250">
      <formula>LEN(TRIM(I29))=0</formula>
    </cfRule>
  </conditionalFormatting>
  <conditionalFormatting sqref="I36:I37 I43:I44">
    <cfRule type="cellIs" dxfId="10" priority="246" operator="equal">
      <formula>"FIELD WILL AUTO CALC"</formula>
    </cfRule>
  </conditionalFormatting>
  <conditionalFormatting sqref="I54 L54">
    <cfRule type="containsBlanks" dxfId="9" priority="150">
      <formula>LEN(TRIM(I54))=0</formula>
    </cfRule>
  </conditionalFormatting>
  <conditionalFormatting sqref="I61:I62 I68:I69">
    <cfRule type="cellIs" dxfId="5" priority="146" operator="equal">
      <formula>"FIELD WILL AUTO CALC"</formula>
    </cfRule>
  </conditionalFormatting>
  <conditionalFormatting sqref="I79 L79">
    <cfRule type="containsBlanks" dxfId="4" priority="50">
      <formula>LEN(TRIM(I79))=0</formula>
    </cfRule>
  </conditionalFormatting>
  <conditionalFormatting sqref="I86:I87 I93:I94">
    <cfRule type="cellIs" dxfId="1" priority="46" operator="equal">
      <formula>"FIELD WILL AUTO CALC"</formula>
    </cfRule>
  </conditionalFormatting>
  <dataValidations count="1">
    <dataValidation showInputMessage="1" showErrorMessage="1" sqref="L57:L60 F57:F60 F7:F10 F82:F85 L7:L10 F32:F35 L32:L35 L82:L85" xr:uid="{2A1CA793-BC3F-4989-B5C3-D2BAF6D6E9B5}"/>
  </dataValidations>
  <printOptions horizontalCentered="1" verticalCentered="1"/>
  <pageMargins left="0.25" right="0.25" top="0.25" bottom="0.25" header="0" footer="0"/>
  <pageSetup paperSize="9" scale="41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802" operator="equal" id="{A4594238-9C0C-4E8E-A6B1-DD1CEAD9DBDD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803" operator="equal" id="{88023062-75C6-4ABD-A0F2-5A403BC45AC1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804" operator="equal" id="{7D92A3CA-DACD-4265-95A4-4E7958F6E86F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805" operator="equal" id="{E7379DD3-FD7E-4308-836A-3736D810169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806" operator="equal" id="{D0C021C3-A5FF-4C42-8582-11378B5D04E8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807" operator="equal" id="{3A846A09-0E2C-4B10-B5D8-C8721F541EE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808" operator="equal" id="{272FB159-22E6-4B59-88B9-06B53A49D2A3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809" operator="equal" id="{A7DDE61A-83ED-4DD2-B206-DDC3F78CD612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810" operator="equal" id="{ED8FA345-5ACF-4CDD-BD84-082649CB8F11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811" operator="equal" id="{3E3361F3-AE86-4709-AE26-3797F3E5A5C6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812" operator="equal" id="{55C8D444-FCE5-4CC2-8A24-8D9EAC58631F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813" operator="equal" id="{D0C62BD7-0257-4D84-896B-C6E8C67A686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814" operator="equal" id="{55CC537E-9540-41B3-A3B8-EA938FA758F1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815" operator="equal" id="{0939452E-0232-4E2B-8D38-016ADD01C6C0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820" operator="equal" id="{BC98759B-4C4C-49CE-8BD3-1B85F1CF2E99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819" operator="equal" id="{05423448-AAD9-481A-88BC-FC22D2F0E563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818" operator="equal" id="{2F9674A5-E109-4FBE-9665-03895A6B01FD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817" operator="equal" id="{243040B3-2E4E-4A23-B287-C701F70F5B0B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816" operator="equal" id="{E2438FDA-B2D6-413F-8CBF-FD22DE385438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801" operator="equal" id="{52DF1926-2C0D-4C33-A52D-B3A83FEDAE9C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m:sqref>B2:F2</xm:sqref>
        </x14:conditionalFormatting>
        <x14:conditionalFormatting xmlns:xm="http://schemas.microsoft.com/office/excel/2006/main">
          <x14:cfRule type="cellIs" priority="256" operator="equal" id="{7094E5D0-9D06-4D9B-8E99-78AC85DC902D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55" operator="equal" id="{A87927D8-819F-4110-A115-3B9EB18C0EAE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54" operator="equal" id="{583299CD-DC2D-4B77-866B-3633A2562221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53" operator="equal" id="{9655219E-7CD4-4DDF-A39A-DB977A904FFC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52" operator="equal" id="{145F6FC2-BC3B-414B-8FBD-099359B4346C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70" operator="equal" id="{B49CF5F7-4A14-4B82-A7A6-67DCFB90538A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69" operator="equal" id="{B54E1C4D-E15A-44D8-8785-01458C27C1E4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68" operator="equal" id="{B18ADDD4-A7FF-41A5-83D3-82FE6690298C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67" operator="equal" id="{25072941-0E69-4DAA-9FFB-5434443DB3CC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66" operator="equal" id="{7001DBD5-7158-4A27-95D8-17B57CE4C2F2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65" operator="equal" id="{5295F9E0-C5ED-48EB-BDA0-D80A5805F4D5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64" operator="equal" id="{55A64DCA-A3A0-493B-8FC6-7DF681F31DEC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63" operator="equal" id="{62595E59-37A7-4765-8C9A-ADEA4F7BBA6F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62" operator="equal" id="{048766B0-9122-47E8-AA9A-32954F6E00FA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61" operator="equal" id="{B716ACD6-C788-47D7-A22E-13E67CA4334E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60" operator="equal" id="{8A2F3C99-CCE3-4566-8169-6971EAC346FF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59" operator="equal" id="{C181FAD4-BA35-4F15-9A39-83264D861810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58" operator="equal" id="{36759396-DA1B-4041-9A4A-C5B06149A2CB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57" operator="equal" id="{310E2EFE-4E01-4ACE-9131-392648E2962C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51" operator="equal" id="{6CD82D84-7AD6-4F6E-8AE2-23B86AC9B55D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m:sqref>B27:F27</xm:sqref>
        </x14:conditionalFormatting>
        <x14:conditionalFormatting xmlns:xm="http://schemas.microsoft.com/office/excel/2006/main">
          <x14:cfRule type="cellIs" priority="159" operator="equal" id="{4FE444CC-372C-4374-AECB-DD7B717413D0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151" operator="equal" id="{1C67AE58-556A-432E-BE7C-DA55B4C02E6F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52" operator="equal" id="{D2A4EE58-387D-4440-A464-2DEFBCBFF28B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53" operator="equal" id="{961AC329-51C9-49F4-B8B0-7F2E68500FFB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54" operator="equal" id="{47640773-57C7-41F2-AA23-384BC1DEB267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155" operator="equal" id="{B897F99C-5AFD-4FFD-A55E-561019DC4060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56" operator="equal" id="{3B9FAA2B-0BB6-49A1-9E6B-557BD95A1DB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57" operator="equal" id="{D112776C-4C8E-43DE-9574-66927B9599F3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58" operator="equal" id="{0C2D3041-0AB8-4674-A10F-BA3ACD3DF76C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160" operator="equal" id="{1BAC2276-2108-4A96-BA4B-8AD7E79AB420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61" operator="equal" id="{94ABA7FE-94FA-4E14-ADC1-776B5E59066C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62" operator="equal" id="{804CB645-B33F-40B3-86E8-C79CA634D079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63" operator="equal" id="{EA165171-63EB-421E-B118-CEFEA6B511D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64" operator="equal" id="{1A30F980-F390-4FDA-88B2-23DE7C67CBD0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65" operator="equal" id="{8A556517-4D5A-491D-8D1C-7CB4BFEFD094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66" operator="equal" id="{690A01C9-2ECB-4FC1-A391-E4659EC775C3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167" operator="equal" id="{1657F3BE-CDF3-4F1F-8FEB-216CA66600E8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68" operator="equal" id="{4D009522-F624-49A3-B55A-1CCA281A2D06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69" operator="equal" id="{5852A7C9-AA16-4F4B-B099-1122E7AAE4A0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70" operator="equal" id="{B1C1CC0C-A1BF-4332-BEA8-705548BC6DC8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m:sqref>B52:F52</xm:sqref>
        </x14:conditionalFormatting>
        <x14:conditionalFormatting xmlns:xm="http://schemas.microsoft.com/office/excel/2006/main">
          <x14:cfRule type="cellIs" priority="51" operator="equal" id="{C9A6D87B-4AD4-435B-8383-8CD95FA1F7EE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69" operator="equal" id="{06502613-23DC-41FE-A3F3-20B9CB84B4B2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70" operator="equal" id="{D0915FFA-B1B3-4E59-9825-DE8371FE645E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68" operator="equal" id="{FE355549-DD71-4BCD-B316-8973519B82C2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67" operator="equal" id="{62E3D102-0BC4-4156-9607-1BB915A74DAE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66" operator="equal" id="{CE218ADF-3EBE-4CD0-85BD-8C7405C40C62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65" operator="equal" id="{F64AD874-9C54-416D-A03C-A91426C4BE7B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64" operator="equal" id="{5540066C-5A52-40E8-B50B-CD45678CE264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63" operator="equal" id="{740B6C7D-8E90-4AFB-B632-7067058C8CCA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62" operator="equal" id="{384AEED5-F9CB-480C-9086-C484F11C4B70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61" operator="equal" id="{9DE4639B-9A04-4D07-9548-52B59A22173F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60" operator="equal" id="{A23DAADE-9A12-4495-8EF6-44D7AF2475CE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59" operator="equal" id="{72992F46-CF0A-4646-A6F6-547D5CAC4A31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58" operator="equal" id="{A2D57C3F-4105-4F34-956D-5A43796402B3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57" operator="equal" id="{2ED9D489-E31C-4C43-ABBA-FF50933C55E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56" operator="equal" id="{572476B9-993D-4632-A387-DEAE56D64DA1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55" operator="equal" id="{99F820EF-EC7B-4680-8C7A-6C7A74249E3B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54" operator="equal" id="{80D34A80-DEBC-4CB6-8DE6-E8153AFCCE06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53" operator="equal" id="{9D672750-CE2D-4896-B9E7-A59A640A7880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52" operator="equal" id="{4738B382-2611-4AA6-8317-DD81C826FB62}">
            <xm:f>Dropdowns!$D$21</xm:f>
            <x14:dxf>
              <fill>
                <patternFill>
                  <bgColor rgb="FFFF0000"/>
                </patternFill>
              </fill>
            </x14:dxf>
          </x14:cfRule>
          <xm:sqref>B77:F77</xm:sqref>
        </x14:conditionalFormatting>
        <x14:conditionalFormatting xmlns:xm="http://schemas.microsoft.com/office/excel/2006/main">
          <x14:cfRule type="cellIs" priority="2849" operator="greaterThanOrEqual" id="{701F1985-D07E-4E66-9112-00F2CE7878E1}">
            <xm:f>Dropdowns!$L$7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848" operator="between" id="{900F3C08-EDA6-4F4F-9D6B-DB29BAEF35DA}">
            <xm:f>Dropdowns!$L$6</xm:f>
            <xm:f>Dropdowns!$M$6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847" operator="lessThanOrEqual" id="{D324DBBD-6A88-4C9C-A4BB-2A908785C6BA}">
            <xm:f>Dropdowns!$M$5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C11:C12 C18:C19</xm:sqref>
        </x14:conditionalFormatting>
        <x14:conditionalFormatting xmlns:xm="http://schemas.microsoft.com/office/excel/2006/main">
          <x14:cfRule type="cellIs" priority="297" operator="lessThanOrEqual" id="{3491A871-F59E-44E9-86CD-2EC8E275EBFF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98" operator="between" id="{B962A853-AC58-44EA-8FF0-6EE312853D93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99" operator="greaterThanOrEqual" id="{5D3BD8C1-8DBD-4E99-97DA-DC8D2EF67356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C36:C37 C43:C44</xm:sqref>
        </x14:conditionalFormatting>
        <x14:conditionalFormatting xmlns:xm="http://schemas.microsoft.com/office/excel/2006/main">
          <x14:cfRule type="cellIs" priority="197" operator="lessThanOrEqual" id="{405A0528-E893-4BB7-ABFE-4F92DCCA013F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8" operator="between" id="{B38F152F-3A2E-4413-93E5-F909B48BD9FA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199" operator="greaterThanOrEqual" id="{FEBA47C1-DD59-4F5C-A44D-35A24F5326CF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C61:C62 C68:C69</xm:sqref>
        </x14:conditionalFormatting>
        <x14:conditionalFormatting xmlns:xm="http://schemas.microsoft.com/office/excel/2006/main">
          <x14:cfRule type="cellIs" priority="97" operator="lessThanOrEqual" id="{DB04F2BB-4ADF-4BCC-8F21-B925194D03E0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8" operator="between" id="{2A9915C3-ACFF-4409-A4A9-E5ABAB475D4F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99" operator="greaterThanOrEqual" id="{68330D71-2C99-4231-A682-B221947E1DDA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C86:C87 C93:C94</xm:sqref>
        </x14:conditionalFormatting>
        <x14:conditionalFormatting xmlns:xm="http://schemas.microsoft.com/office/excel/2006/main">
          <x14:cfRule type="cellIs" priority="313" operator="equal" id="{D2517CE0-30DD-489A-B48A-312F850E7625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320" operator="equal" id="{559CD0EA-2C08-46E4-A24D-1BF993ECCA32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318" operator="equal" id="{382FFB8D-C2E8-4101-9D42-D0AF5BB09437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317" operator="equal" id="{55CE7407-1E60-4CCA-82C0-9C731F0622A1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316" operator="equal" id="{D7185E4B-0328-4485-B664-B30FB3A2BCB8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315" operator="equal" id="{D3912B3A-98EF-4956-B121-CAC519879AE2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314" operator="equal" id="{F5340F04-A3E5-47E5-A64F-59588D94941E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302" operator="equal" id="{4CEEA026-6B50-413C-81C2-5A38FCD4B273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312" operator="equal" id="{B563E911-6743-43AD-B660-135FDC87D8C8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311" operator="equal" id="{4E5090AC-E130-4DC5-B509-E85A7E43FA0F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310" operator="equal" id="{05D1E2EA-6685-41B6-9B20-06DACF849A99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309" operator="equal" id="{EBCE26F1-E62F-4A05-9B11-9F7029E49E64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308" operator="equal" id="{7823F344-1911-48DA-85D2-BC1EB3716BE5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301" operator="equal" id="{CD5AFBAD-1E93-4060-9E15-ABB90CC9C62D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307" operator="equal" id="{AA185198-778A-4770-975C-C7D8C6F1E75A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306" operator="equal" id="{01FF6B35-6DCA-4DA5-87D1-1FF1B19CAEA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305" operator="equal" id="{E63D3DAB-8DD9-4D39-9211-792D405EE0E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304" operator="equal" id="{B6D527DE-6964-40CA-82E3-7661B11AFC4B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303" operator="equal" id="{B31C66B4-77BC-4D49-A4BB-5ECEF2608CEF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319" operator="equal" id="{C735BF99-6DE5-4F8A-860A-AED7D22E847B}">
            <xm:f>Dropdowns!$D$4</xm:f>
            <x14:dxf>
              <fill>
                <patternFill>
                  <bgColor rgb="FF00B0F0"/>
                </patternFill>
              </fill>
            </x14:dxf>
          </x14:cfRule>
          <xm:sqref>H2:L2</xm:sqref>
        </x14:conditionalFormatting>
        <x14:conditionalFormatting xmlns:xm="http://schemas.microsoft.com/office/excel/2006/main">
          <x14:cfRule type="cellIs" priority="202" operator="equal" id="{697D45F0-78AA-48B1-BB2A-2A74C49751BD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03" operator="equal" id="{F8A0C74C-A921-49E0-A5D8-5428A41C95E9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04" operator="equal" id="{086CC50B-8AA1-4840-B4D9-EAEAAA9FE746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05" operator="equal" id="{33029F8E-C757-472C-8B05-D2695C46EABF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06" operator="equal" id="{7CEF7434-9A5E-4D91-8889-8037588ADB7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07" operator="equal" id="{F9A6C1B3-AA4C-4F07-BD24-2EF27A64DC3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08" operator="equal" id="{18BE845B-652B-4F63-B00C-619E39F98431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09" operator="equal" id="{79CF4F6E-34EB-49CF-92C7-D84BACC47C28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11" operator="equal" id="{51DB1919-7242-4DE6-9534-EFF4C3673FD8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12" operator="equal" id="{D0B9D80E-AAD5-4DFC-9AA1-B7E443FF4DCB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13" operator="equal" id="{0E65F44C-476C-4DD4-9857-00689CA5D28D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14" operator="equal" id="{025E3099-45EC-463D-B310-CB93D1127F66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15" operator="equal" id="{0726098D-4AFC-4AC2-A625-A5A3955861E9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16" operator="equal" id="{D8142FF5-609A-4DED-A4C6-B6F4F3F7A6E0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01" operator="equal" id="{D1980B87-B1F1-4571-9D4A-423669122CCA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210" operator="equal" id="{A01668DE-CA1C-4514-944A-28E08E8D1316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20" operator="equal" id="{6ACCD40F-7EA9-4581-A90B-1FDF91602F59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19" operator="equal" id="{3A1013D5-172E-45AF-AAE9-DC086E53644D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18" operator="equal" id="{89E27664-902D-4099-957F-4964289DB8E1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17" operator="equal" id="{71CA8485-170C-43E2-A40B-CC6FE609F7AD}">
            <xm:f>Dropdowns!$D$6</xm:f>
            <x14:dxf>
              <fill>
                <patternFill>
                  <bgColor rgb="FF7030A0"/>
                </patternFill>
              </fill>
            </x14:dxf>
          </x14:cfRule>
          <xm:sqref>H27:L27</xm:sqref>
        </x14:conditionalFormatting>
        <x14:conditionalFormatting xmlns:xm="http://schemas.microsoft.com/office/excel/2006/main">
          <x14:cfRule type="cellIs" priority="114" operator="equal" id="{7015A499-F56E-42F3-9A7E-6B7FD692A192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13" operator="equal" id="{4517E6A9-FFE8-449D-B86D-75603D4DEB3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12" operator="equal" id="{DB400AB5-B2AE-48A5-AB15-1BAC45CDE1D0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11" operator="equal" id="{30C93BD1-00D0-4E64-AA7F-46AEFF17C655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15" operator="equal" id="{DF4DA2E8-7330-4552-9847-7228C75C1C03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01" operator="equal" id="{39D8C082-B1AE-4E47-B93E-9C4F41EA1A4A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10" operator="equal" id="{EB2E8FDA-347F-418D-84A9-E89D7BCCF3F0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09" operator="equal" id="{09EF4E74-C9AA-4339-A3F8-BF2A40292369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108" operator="equal" id="{03923BB4-1DD0-48D5-882F-2C83BEF34C3E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107" operator="equal" id="{20D734F4-A018-4167-A504-4123E27C9C44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06" operator="equal" id="{72867B7F-AB68-4354-A993-1D547F591E61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05" operator="equal" id="{6F469655-DCA6-4527-A8AD-BC16AE7D1F14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04" operator="equal" id="{DFCD24BA-7AE0-4E45-AD08-8402C3CB7C5C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103" operator="equal" id="{954B9451-4954-4EFE-8663-5497D64E4A47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02" operator="equal" id="{32613B8D-0B04-491B-90F6-34006DE65D98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20" operator="equal" id="{263356E8-D652-468C-BD6B-31B81615E325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119" operator="equal" id="{EEADF161-DCE4-4AA9-A258-6B34E05AC6B5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18" operator="equal" id="{BB1F994F-26FD-41F8-B4DA-E6EC024D3506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17" operator="equal" id="{F64D9EA7-C477-49A7-856B-12FDA482406A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16" operator="equal" id="{B22CA53E-B3E5-4796-86E6-FF453681027D}">
            <xm:f>Dropdowns!$D$7</xm:f>
            <x14:dxf>
              <fill>
                <patternFill>
                  <bgColor rgb="FFFF00FF"/>
                </patternFill>
              </fill>
            </x14:dxf>
          </x14:cfRule>
          <xm:sqref>H52:L52</xm:sqref>
        </x14:conditionalFormatting>
        <x14:conditionalFormatting xmlns:xm="http://schemas.microsoft.com/office/excel/2006/main">
          <x14:cfRule type="cellIs" priority="20" operator="equal" id="{77835144-3753-4080-A3D2-7A5C00AED488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19" operator="equal" id="{C1AF2EDA-01AC-492C-8F35-A17F0FC6594B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8" operator="equal" id="{F7882F92-7C58-4B43-BA40-B44DD2A7EF09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7" operator="equal" id="{0D64EDDA-F40E-43AB-9F07-B75D81868BD4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6" operator="equal" id="{9C6C4DF1-548B-433A-87A7-000A572A4AFE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15" operator="equal" id="{583A14C1-1597-4DE6-B283-345597C3111E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4" operator="equal" id="{CC80F846-1CF2-4A35-861D-03F502943AAF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3" operator="equal" id="{C0327614-EC1B-41D3-B974-F49E68ED6C6C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2" operator="equal" id="{6F703A15-707A-4859-BFC0-DB62137249B1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1" operator="equal" id="{C4B85F27-7326-49C4-BF0D-E66351C0B7A9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0" operator="equal" id="{2E83502C-10B0-41D0-957C-3B684F0C6AF6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9" operator="equal" id="{BAC1647E-1E6A-40EC-916F-1D89075373BD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8" operator="equal" id="{F54FBAA0-70DB-4208-840C-09B2A5943525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7" operator="equal" id="{214A3202-8343-4D7F-820D-2042BF4CEF84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6" operator="equal" id="{88BC9DB4-24FE-4511-9D9B-7FA590B078E9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5" operator="equal" id="{6EA05342-4E55-4027-BB6C-F4A631731D3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4" operator="equal" id="{760A0479-E639-4720-B574-C3080C2E67CF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3" operator="equal" id="{DAF74E26-F691-4AFB-A379-7D4DA9BC4BAD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" operator="equal" id="{990DB6DF-E2EE-49F3-9BC7-297A640B3442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2" operator="equal" id="{B65AED83-BCD1-4F3B-94AC-16E3BABAE85E}">
            <xm:f>Dropdowns!$D$21</xm:f>
            <x14:dxf>
              <fill>
                <patternFill>
                  <bgColor rgb="FFFF0000"/>
                </patternFill>
              </fill>
            </x14:dxf>
          </x14:cfRule>
          <xm:sqref>H77:L77</xm:sqref>
        </x14:conditionalFormatting>
        <x14:conditionalFormatting xmlns:xm="http://schemas.microsoft.com/office/excel/2006/main">
          <x14:cfRule type="cellIs" priority="348" operator="between" id="{D2637A2B-67AF-4A84-AD52-600DF2073378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349" operator="greaterThanOrEqual" id="{0E0E6A62-6EF0-42EF-B23E-22CB894DBE8C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47" operator="lessThanOrEqual" id="{361D695A-18B7-41F3-A9B6-A219D0057E85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I11:I12 I18:I19</xm:sqref>
        </x14:conditionalFormatting>
        <x14:conditionalFormatting xmlns:xm="http://schemas.microsoft.com/office/excel/2006/main">
          <x14:cfRule type="cellIs" priority="249" operator="greaterThanOrEqual" id="{8C38C5B2-C2AC-4510-AA9E-A0E14DB00785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8" operator="between" id="{4CC0405D-4468-48EA-9561-98BE286A4B94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47" operator="lessThanOrEqual" id="{3D1373C9-F1E7-49AD-9AB4-6440DBF70A3A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I36:I37 I43:I44</xm:sqref>
        </x14:conditionalFormatting>
        <x14:conditionalFormatting xmlns:xm="http://schemas.microsoft.com/office/excel/2006/main">
          <x14:cfRule type="cellIs" priority="147" operator="lessThanOrEqual" id="{E3682F59-98EA-4126-8EF8-FEF7C9EF298B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48" operator="between" id="{09212EB5-D3C9-4736-A807-6DF492554A4E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149" operator="greaterThanOrEqual" id="{E5D1351C-EAFB-4B16-832F-8E569DAF44C4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I61:I62 I68:I69</xm:sqref>
        </x14:conditionalFormatting>
        <x14:conditionalFormatting xmlns:xm="http://schemas.microsoft.com/office/excel/2006/main">
          <x14:cfRule type="cellIs" priority="49" operator="greaterThanOrEqual" id="{538A4A27-63CA-4D77-A7EF-F5117CC7454E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8" operator="between" id="{4AF543D9-7EAB-40B2-AEA7-3DADA598A3EA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47" operator="lessThanOrEqual" id="{466FCD9D-420F-483A-917C-7D35F1C1D257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I86:I87 I93:I94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"/>
  <sheetViews>
    <sheetView topLeftCell="C1" workbookViewId="0">
      <selection activeCell="D3" sqref="D3:D16"/>
    </sheetView>
  </sheetViews>
  <sheetFormatPr defaultRowHeight="15" x14ac:dyDescent="0.25"/>
  <cols>
    <col min="1" max="1" width="2.28515625" customWidth="1"/>
    <col min="2" max="2" width="14.28515625" bestFit="1" customWidth="1"/>
    <col min="3" max="3" width="2.28515625" customWidth="1"/>
    <col min="4" max="4" width="45" style="4" bestFit="1" customWidth="1"/>
    <col min="5" max="5" width="11.7109375" style="4" bestFit="1" customWidth="1"/>
    <col min="7" max="7" width="21.85546875" bestFit="1" customWidth="1"/>
    <col min="8" max="9" width="15.42578125" customWidth="1"/>
    <col min="10" max="10" width="4.140625" customWidth="1"/>
    <col min="11" max="13" width="12.85546875" customWidth="1"/>
  </cols>
  <sheetData>
    <row r="1" spans="2:13" ht="9.75" customHeight="1" thickBot="1" x14ac:dyDescent="0.3"/>
    <row r="2" spans="2:13" x14ac:dyDescent="0.25">
      <c r="B2" s="3" t="s">
        <v>47</v>
      </c>
      <c r="D2" s="17" t="s">
        <v>48</v>
      </c>
      <c r="E2" s="17" t="s">
        <v>49</v>
      </c>
      <c r="G2" s="2" t="s">
        <v>50</v>
      </c>
      <c r="H2" s="2" t="s">
        <v>51</v>
      </c>
      <c r="I2" s="2" t="s">
        <v>52</v>
      </c>
      <c r="K2" s="187" t="s">
        <v>53</v>
      </c>
      <c r="L2" s="188"/>
      <c r="M2" s="189"/>
    </row>
    <row r="3" spans="2:13" ht="15.75" x14ac:dyDescent="0.25">
      <c r="B3" s="2" t="s">
        <v>54</v>
      </c>
      <c r="D3" s="14" t="s">
        <v>62</v>
      </c>
      <c r="E3" s="1" t="s">
        <v>55</v>
      </c>
      <c r="G3" s="82" t="s">
        <v>85</v>
      </c>
      <c r="H3" s="83">
        <v>0.75139999999999996</v>
      </c>
      <c r="I3" s="82">
        <v>0.78</v>
      </c>
      <c r="K3" s="190"/>
      <c r="L3" s="191"/>
      <c r="M3" s="192"/>
    </row>
    <row r="4" spans="2:13" ht="16.5" thickBot="1" x14ac:dyDescent="0.3">
      <c r="B4" s="2" t="s">
        <v>56</v>
      </c>
      <c r="D4" s="11" t="s">
        <v>77</v>
      </c>
      <c r="E4" s="1" t="s">
        <v>57</v>
      </c>
      <c r="G4" s="82" t="s">
        <v>88</v>
      </c>
      <c r="H4" s="83">
        <v>0.85609999999999997</v>
      </c>
      <c r="I4" s="82">
        <v>0.88</v>
      </c>
      <c r="K4" s="193"/>
      <c r="L4" s="194"/>
      <c r="M4" s="195"/>
    </row>
    <row r="5" spans="2:13" ht="15.75" x14ac:dyDescent="0.25">
      <c r="D5" s="16" t="s">
        <v>64</v>
      </c>
      <c r="E5" s="1" t="s">
        <v>58</v>
      </c>
      <c r="G5" s="82" t="s">
        <v>89</v>
      </c>
      <c r="H5" s="83">
        <v>0.86709999999999998</v>
      </c>
      <c r="I5" s="82">
        <v>0.88</v>
      </c>
      <c r="K5" s="84" t="s">
        <v>1</v>
      </c>
      <c r="L5" s="85">
        <v>0</v>
      </c>
      <c r="M5" s="86">
        <f>L6-1E-23</f>
        <v>-0.04</v>
      </c>
    </row>
    <row r="6" spans="2:13" ht="15.75" x14ac:dyDescent="0.25">
      <c r="D6" s="8" t="s">
        <v>80</v>
      </c>
      <c r="E6" s="6" t="s">
        <v>59</v>
      </c>
      <c r="G6" s="82"/>
      <c r="H6" s="83"/>
      <c r="I6" s="82"/>
      <c r="K6" s="87" t="s">
        <v>6</v>
      </c>
      <c r="L6" s="88">
        <f>M6-0.04</f>
        <v>-0.04</v>
      </c>
      <c r="M6" s="89">
        <f>L7-1E-21</f>
        <v>-9.9999999999999991E-22</v>
      </c>
    </row>
    <row r="7" spans="2:13" ht="16.5" thickBot="1" x14ac:dyDescent="0.3">
      <c r="D7" s="18" t="s">
        <v>68</v>
      </c>
      <c r="E7" s="1" t="s">
        <v>60</v>
      </c>
      <c r="G7" s="82"/>
      <c r="H7" s="83"/>
      <c r="I7" s="82"/>
      <c r="K7" s="90" t="s">
        <v>7</v>
      </c>
      <c r="L7" s="91">
        <f>SUMIF($G$3:$G$22,Instructions!B5,$I$3:$I$22)</f>
        <v>0</v>
      </c>
      <c r="M7" s="92">
        <v>1</v>
      </c>
    </row>
    <row r="8" spans="2:13" ht="15.75" x14ac:dyDescent="0.25">
      <c r="D8" s="21" t="s">
        <v>78</v>
      </c>
      <c r="E8" s="6" t="s">
        <v>61</v>
      </c>
      <c r="G8" s="82"/>
      <c r="H8" s="83"/>
      <c r="I8" s="82"/>
    </row>
    <row r="9" spans="2:13" ht="15.75" x14ac:dyDescent="0.25">
      <c r="D9" s="7" t="s">
        <v>81</v>
      </c>
      <c r="E9" s="1" t="s">
        <v>63</v>
      </c>
      <c r="G9" s="82"/>
      <c r="H9" s="83"/>
      <c r="I9" s="82"/>
    </row>
    <row r="10" spans="2:13" ht="15.75" x14ac:dyDescent="0.25">
      <c r="D10" s="20" t="s">
        <v>82</v>
      </c>
      <c r="E10" s="6" t="s">
        <v>7</v>
      </c>
      <c r="G10" s="82"/>
      <c r="H10" s="83"/>
      <c r="I10" s="82"/>
    </row>
    <row r="11" spans="2:13" ht="15.75" x14ac:dyDescent="0.25">
      <c r="D11" s="22"/>
      <c r="E11" s="6" t="s">
        <v>65</v>
      </c>
      <c r="G11" s="82"/>
      <c r="H11" s="83"/>
      <c r="I11" s="82"/>
    </row>
    <row r="12" spans="2:13" ht="15.75" x14ac:dyDescent="0.25">
      <c r="D12" s="23"/>
      <c r="E12" s="1" t="s">
        <v>66</v>
      </c>
      <c r="G12" s="82"/>
      <c r="H12" s="82"/>
      <c r="I12" s="82"/>
    </row>
    <row r="13" spans="2:13" ht="15.75" x14ac:dyDescent="0.25">
      <c r="D13" s="24" t="s">
        <v>84</v>
      </c>
      <c r="E13" s="1" t="s">
        <v>67</v>
      </c>
      <c r="G13" s="82"/>
      <c r="H13" s="82"/>
      <c r="I13" s="82"/>
    </row>
    <row r="14" spans="2:13" ht="15.75" x14ac:dyDescent="0.25">
      <c r="D14" s="10" t="s">
        <v>83</v>
      </c>
      <c r="E14" s="6" t="s">
        <v>69</v>
      </c>
      <c r="G14" s="82"/>
      <c r="H14" s="82"/>
      <c r="I14" s="82"/>
    </row>
    <row r="15" spans="2:13" ht="15.75" x14ac:dyDescent="0.25">
      <c r="D15" s="15" t="s">
        <v>87</v>
      </c>
      <c r="E15" s="6" t="s">
        <v>70</v>
      </c>
      <c r="G15" s="82"/>
      <c r="H15" s="82"/>
      <c r="I15" s="82"/>
    </row>
    <row r="16" spans="2:13" ht="15.75" x14ac:dyDescent="0.25">
      <c r="D16" s="12" t="s">
        <v>86</v>
      </c>
      <c r="E16" s="1" t="s">
        <v>6</v>
      </c>
      <c r="G16" s="82"/>
      <c r="H16" s="82"/>
      <c r="I16" s="82"/>
    </row>
    <row r="17" spans="4:9" ht="15.75" x14ac:dyDescent="0.25">
      <c r="D17" s="5"/>
      <c r="E17" s="1" t="s">
        <v>71</v>
      </c>
      <c r="G17" s="82"/>
      <c r="H17" s="82"/>
      <c r="I17" s="82"/>
    </row>
    <row r="18" spans="4:9" ht="15.75" x14ac:dyDescent="0.25">
      <c r="D18" s="9"/>
      <c r="E18" s="1" t="s">
        <v>72</v>
      </c>
      <c r="G18" s="82"/>
      <c r="H18" s="82"/>
      <c r="I18" s="82"/>
    </row>
    <row r="19" spans="4:9" ht="15.75" x14ac:dyDescent="0.25">
      <c r="D19" s="13"/>
      <c r="E19" s="1" t="s">
        <v>73</v>
      </c>
      <c r="G19" s="82"/>
      <c r="H19" s="82"/>
      <c r="I19" s="82"/>
    </row>
    <row r="20" spans="4:9" ht="15.75" x14ac:dyDescent="0.25">
      <c r="D20" s="19"/>
      <c r="E20" s="6" t="s">
        <v>74</v>
      </c>
      <c r="G20" s="82"/>
      <c r="H20" s="82"/>
      <c r="I20" s="82"/>
    </row>
    <row r="21" spans="4:9" ht="15.75" x14ac:dyDescent="0.25">
      <c r="D21" s="25"/>
      <c r="E21" s="6" t="s">
        <v>75</v>
      </c>
      <c r="G21" s="82"/>
      <c r="H21" s="82"/>
      <c r="I21" s="82"/>
    </row>
    <row r="22" spans="4:9" ht="15.75" x14ac:dyDescent="0.25">
      <c r="D22" s="26"/>
      <c r="E22" s="6" t="s">
        <v>76</v>
      </c>
      <c r="G22" s="82"/>
      <c r="H22" s="82"/>
      <c r="I22" s="82"/>
    </row>
    <row r="28" spans="4:9" x14ac:dyDescent="0.25">
      <c r="D28" s="4" t="s">
        <v>79</v>
      </c>
    </row>
  </sheetData>
  <autoFilter ref="D2:E20" xr:uid="{00000000-0001-0000-0200-000000000000}">
    <sortState xmlns:xlrd2="http://schemas.microsoft.com/office/spreadsheetml/2017/richdata2" ref="D3:E20">
      <sortCondition ref="D2:D20"/>
    </sortState>
  </autoFilter>
  <mergeCells count="1">
    <mergeCell ref="K2:M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557C9105B164AB95B22AF06933FA0" ma:contentTypeVersion="13" ma:contentTypeDescription="Create a new document." ma:contentTypeScope="" ma:versionID="0ffc78280b1988a505f4a1523d3451b2">
  <xsd:schema xmlns:xsd="http://www.w3.org/2001/XMLSchema" xmlns:xs="http://www.w3.org/2001/XMLSchema" xmlns:p="http://schemas.microsoft.com/office/2006/metadata/properties" xmlns:ns3="43737c54-d64a-482b-8a8c-c8ea1304f862" xmlns:ns4="2dcb5f74-ddc9-4ba7-ba8c-9c2e7bde9bef" targetNamespace="http://schemas.microsoft.com/office/2006/metadata/properties" ma:root="true" ma:fieldsID="d39cd269ac639d5d625bafd17bf3654c" ns3:_="" ns4:_="">
    <xsd:import namespace="43737c54-d64a-482b-8a8c-c8ea1304f862"/>
    <xsd:import namespace="2dcb5f74-ddc9-4ba7-ba8c-9c2e7bde9b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37c54-d64a-482b-8a8c-c8ea1304f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b5f74-ddc9-4ba7-ba8c-9c2e7bde9b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6BB522-2C46-42C2-AB0D-C9823425B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37c54-d64a-482b-8a8c-c8ea1304f862"/>
    <ds:schemaRef ds:uri="2dcb5f74-ddc9-4ba7-ba8c-9c2e7bde9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A717F3-2475-43F2-A20C-6918E8C114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231514-5848-4051-B3DC-C66BE550D40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2dcb5f74-ddc9-4ba7-ba8c-9c2e7bde9bef"/>
    <ds:schemaRef ds:uri="43737c54-d64a-482b-8a8c-c8ea1304f8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Template</vt:lpstr>
      <vt:lpstr>Dropdowns</vt:lpstr>
      <vt:lpstr>Instructions!Print_Area</vt:lpstr>
      <vt:lpstr>Template!Print_Area</vt:lpstr>
    </vt:vector>
  </TitlesOfParts>
  <Manager/>
  <Company>Target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Nicholas.Christensen</dc:creator>
  <cp:keywords/>
  <dc:description/>
  <cp:lastModifiedBy>Christy.Meyers-VanDerBosch</cp:lastModifiedBy>
  <cp:revision/>
  <dcterms:created xsi:type="dcterms:W3CDTF">2019-05-23T14:08:33Z</dcterms:created>
  <dcterms:modified xsi:type="dcterms:W3CDTF">2026-10-09T18:12:22Z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0x0101007D3557C9105B164AB95B22AF06933FA0</vt:lpwstr>
  </property>
  <property fmtid="{D5CDD505-2E9C-101B-9397-08002B2CF9AE}" pid="3" name="TaxKeyword">
    <vt:lpwstr/>
  </property>
  <property fmtid="{D5CDD505-2E9C-101B-9397-08002B2CF9AE}" pid="4" name="SharedWithUsers">
    <vt:lpwstr>19;#Angela.Kennedy</vt:lpwstr>
  </property>
</Properties>
</file>